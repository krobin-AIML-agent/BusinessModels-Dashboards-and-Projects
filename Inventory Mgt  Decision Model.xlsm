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b1a04007f80a09c/Desktop/SCM Cases/"/>
    </mc:Choice>
  </mc:AlternateContent>
  <xr:revisionPtr revIDLastSave="7" documentId="14_{3080EB6A-4FF9-4181-A80B-2DC2637B240F}" xr6:coauthVersionLast="47" xr6:coauthVersionMax="47" xr10:uidLastSave="{1EAE01E5-0AF6-4C22-850E-C9A731786216}"/>
  <bookViews>
    <workbookView xWindow="-120" yWindow="-120" windowWidth="24240" windowHeight="13020" activeTab="1" xr2:uid="{00000000-000D-0000-FFFF-FFFF00000000}"/>
  </bookViews>
  <sheets>
    <sheet name="Manager's Page" sheetId="2" r:id="rId1"/>
    <sheet name="Constant" sheetId="4" r:id="rId2"/>
    <sheet name="Calculation Page" sheetId="3" r:id="rId3"/>
    <sheet name="Data" sheetId="1" r:id="rId4"/>
  </sheets>
  <calcPr calcId="191029"/>
  <customWorkbookViews>
    <customWorkbookView name="A. Norman, MBA - Personal View" guid="{645043AA-52DD-4410-9CC4-C1077759B76F}" mergeInterval="0" personalView="1" maximized="1" xWindow="-8" yWindow="-8" windowWidth="1382" windowHeight="744" activeSheetId="1"/>
    <customWorkbookView name="A Norman, MBA - Personal View" guid="{AF6195BB-C8F4-4292-925B-49D95A71E1EF}" mergeInterval="0" personalView="1" maximized="1" xWindow="-9" yWindow="-9" windowWidth="1938" windowHeight="1050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4" l="1"/>
  <c r="C4" i="3" l="1"/>
  <c r="J4" i="3" s="1"/>
  <c r="L4" i="3" s="1"/>
  <c r="C5" i="3"/>
  <c r="J5" i="3" s="1"/>
  <c r="L5" i="3" s="1"/>
  <c r="C6" i="3"/>
  <c r="J6" i="3" s="1"/>
  <c r="L6" i="3" s="1"/>
  <c r="C7" i="3"/>
  <c r="J7" i="3" s="1"/>
  <c r="L7" i="3" s="1"/>
  <c r="C8" i="3"/>
  <c r="J8" i="3" s="1"/>
  <c r="L8" i="3" s="1"/>
  <c r="C9" i="3"/>
  <c r="J9" i="3" s="1"/>
  <c r="L9" i="3" s="1"/>
  <c r="C10" i="3"/>
  <c r="J10" i="3" s="1"/>
  <c r="L10" i="3" s="1"/>
  <c r="C11" i="3"/>
  <c r="J11" i="3" s="1"/>
  <c r="L11" i="3" s="1"/>
  <c r="C12" i="3"/>
  <c r="J12" i="3" s="1"/>
  <c r="L12" i="3" s="1"/>
  <c r="C13" i="3"/>
  <c r="J13" i="3" s="1"/>
  <c r="L13" i="3" s="1"/>
  <c r="C14" i="3"/>
  <c r="J14" i="3" s="1"/>
  <c r="L14" i="3" s="1"/>
  <c r="C15" i="3"/>
  <c r="J15" i="3" s="1"/>
  <c r="L15" i="3" s="1"/>
  <c r="C16" i="3"/>
  <c r="J16" i="3" s="1"/>
  <c r="L16" i="3" s="1"/>
  <c r="C17" i="3"/>
  <c r="J17" i="3" s="1"/>
  <c r="L17" i="3" s="1"/>
  <c r="C18" i="3"/>
  <c r="J18" i="3" s="1"/>
  <c r="L18" i="3" s="1"/>
  <c r="C19" i="3"/>
  <c r="J19" i="3" s="1"/>
  <c r="L19" i="3" s="1"/>
  <c r="C20" i="3"/>
  <c r="J20" i="3" s="1"/>
  <c r="L20" i="3" s="1"/>
  <c r="C21" i="3"/>
  <c r="J21" i="3" s="1"/>
  <c r="L21" i="3" s="1"/>
  <c r="C22" i="3"/>
  <c r="J22" i="3" s="1"/>
  <c r="L22" i="3" s="1"/>
  <c r="C23" i="3"/>
  <c r="J23" i="3" s="1"/>
  <c r="L23" i="3" s="1"/>
  <c r="C24" i="3"/>
  <c r="J24" i="3" s="1"/>
  <c r="L24" i="3" s="1"/>
  <c r="C25" i="3"/>
  <c r="J25" i="3" s="1"/>
  <c r="L25" i="3" s="1"/>
  <c r="C26" i="3"/>
  <c r="J26" i="3" s="1"/>
  <c r="L26" i="3" s="1"/>
  <c r="C27" i="3"/>
  <c r="J27" i="3" s="1"/>
  <c r="L27" i="3" s="1"/>
  <c r="C28" i="3"/>
  <c r="J28" i="3" s="1"/>
  <c r="L28" i="3" s="1"/>
  <c r="C29" i="3"/>
  <c r="J29" i="3" s="1"/>
  <c r="L29" i="3" s="1"/>
  <c r="C30" i="3"/>
  <c r="J30" i="3" s="1"/>
  <c r="L30" i="3" s="1"/>
  <c r="C31" i="3"/>
  <c r="J31" i="3" s="1"/>
  <c r="L31" i="3" s="1"/>
  <c r="C32" i="3"/>
  <c r="J32" i="3" s="1"/>
  <c r="L32" i="3" s="1"/>
  <c r="C33" i="3"/>
  <c r="J33" i="3" s="1"/>
  <c r="L33" i="3" s="1"/>
  <c r="C34" i="3"/>
  <c r="J34" i="3" s="1"/>
  <c r="L34" i="3" s="1"/>
  <c r="C35" i="3"/>
  <c r="J35" i="3" s="1"/>
  <c r="L35" i="3" s="1"/>
  <c r="C36" i="3"/>
  <c r="J36" i="3" s="1"/>
  <c r="L36" i="3" s="1"/>
  <c r="C37" i="3"/>
  <c r="J37" i="3" s="1"/>
  <c r="L37" i="3" s="1"/>
  <c r="C38" i="3"/>
  <c r="J38" i="3" s="1"/>
  <c r="L38" i="3" s="1"/>
  <c r="C39" i="3"/>
  <c r="J39" i="3" s="1"/>
  <c r="L39" i="3" s="1"/>
  <c r="C40" i="3"/>
  <c r="J40" i="3" s="1"/>
  <c r="L40" i="3" s="1"/>
  <c r="C41" i="3"/>
  <c r="J41" i="3" s="1"/>
  <c r="L41" i="3" s="1"/>
  <c r="C42" i="3"/>
  <c r="J42" i="3" s="1"/>
  <c r="L42" i="3" s="1"/>
  <c r="C43" i="3"/>
  <c r="J43" i="3" s="1"/>
  <c r="L43" i="3" s="1"/>
  <c r="C44" i="3"/>
  <c r="J44" i="3" s="1"/>
  <c r="L44" i="3" s="1"/>
  <c r="C45" i="3"/>
  <c r="J45" i="3" s="1"/>
  <c r="L45" i="3" s="1"/>
  <c r="C46" i="3"/>
  <c r="J46" i="3" s="1"/>
  <c r="L46" i="3" s="1"/>
  <c r="C47" i="3"/>
  <c r="J47" i="3" s="1"/>
  <c r="L47" i="3" s="1"/>
  <c r="C48" i="3"/>
  <c r="J48" i="3" s="1"/>
  <c r="L48" i="3" s="1"/>
  <c r="C49" i="3"/>
  <c r="J49" i="3" s="1"/>
  <c r="L49" i="3" s="1"/>
  <c r="C50" i="3"/>
  <c r="J50" i="3" s="1"/>
  <c r="L50" i="3" s="1"/>
  <c r="C51" i="3"/>
  <c r="J51" i="3" s="1"/>
  <c r="L51" i="3" s="1"/>
  <c r="C52" i="3"/>
  <c r="J52" i="3" s="1"/>
  <c r="L52" i="3" s="1"/>
  <c r="C53" i="3"/>
  <c r="J53" i="3" s="1"/>
  <c r="L53" i="3" s="1"/>
  <c r="C54" i="3"/>
  <c r="J54" i="3" s="1"/>
  <c r="L54" i="3" s="1"/>
  <c r="C55" i="3"/>
  <c r="J55" i="3" s="1"/>
  <c r="L55" i="3" s="1"/>
  <c r="C56" i="3"/>
  <c r="J56" i="3" s="1"/>
  <c r="L56" i="3" s="1"/>
  <c r="C57" i="3"/>
  <c r="J57" i="3" s="1"/>
  <c r="L57" i="3" s="1"/>
  <c r="C58" i="3"/>
  <c r="J58" i="3" s="1"/>
  <c r="L58" i="3" s="1"/>
  <c r="C59" i="3"/>
  <c r="J59" i="3" s="1"/>
  <c r="L59" i="3" s="1"/>
  <c r="C60" i="3"/>
  <c r="J60" i="3" s="1"/>
  <c r="L60" i="3" s="1"/>
  <c r="C61" i="3"/>
  <c r="J61" i="3" s="1"/>
  <c r="L61" i="3" s="1"/>
  <c r="C62" i="3"/>
  <c r="J62" i="3" s="1"/>
  <c r="L62" i="3" s="1"/>
  <c r="C63" i="3"/>
  <c r="J63" i="3" s="1"/>
  <c r="L63" i="3" s="1"/>
  <c r="C64" i="3"/>
  <c r="J64" i="3" s="1"/>
  <c r="L64" i="3" s="1"/>
  <c r="C65" i="3"/>
  <c r="J65" i="3" s="1"/>
  <c r="L65" i="3" s="1"/>
  <c r="C66" i="3"/>
  <c r="J66" i="3" s="1"/>
  <c r="L66" i="3" s="1"/>
  <c r="C67" i="3"/>
  <c r="J67" i="3" s="1"/>
  <c r="L67" i="3" s="1"/>
  <c r="C68" i="3"/>
  <c r="J68" i="3" s="1"/>
  <c r="L68" i="3" s="1"/>
  <c r="C69" i="3"/>
  <c r="J69" i="3" s="1"/>
  <c r="L69" i="3" s="1"/>
  <c r="C70" i="3"/>
  <c r="J70" i="3" s="1"/>
  <c r="L70" i="3" s="1"/>
  <c r="C71" i="3"/>
  <c r="J71" i="3" s="1"/>
  <c r="L71" i="3" s="1"/>
  <c r="C72" i="3"/>
  <c r="J72" i="3" s="1"/>
  <c r="L72" i="3" s="1"/>
  <c r="C73" i="3"/>
  <c r="J73" i="3" s="1"/>
  <c r="L73" i="3" s="1"/>
  <c r="C74" i="3"/>
  <c r="J74" i="3" s="1"/>
  <c r="L74" i="3" s="1"/>
  <c r="C75" i="3"/>
  <c r="J75" i="3" s="1"/>
  <c r="L75" i="3" s="1"/>
  <c r="C76" i="3"/>
  <c r="J76" i="3" s="1"/>
  <c r="L76" i="3" s="1"/>
  <c r="C77" i="3"/>
  <c r="J77" i="3" s="1"/>
  <c r="L77" i="3" s="1"/>
  <c r="C78" i="3"/>
  <c r="J78" i="3" s="1"/>
  <c r="L78" i="3" s="1"/>
  <c r="C79" i="3"/>
  <c r="J79" i="3" s="1"/>
  <c r="L79" i="3" s="1"/>
  <c r="C80" i="3"/>
  <c r="J80" i="3" s="1"/>
  <c r="L80" i="3" s="1"/>
  <c r="C81" i="3"/>
  <c r="J81" i="3" s="1"/>
  <c r="L81" i="3" s="1"/>
  <c r="C82" i="3"/>
  <c r="J82" i="3" s="1"/>
  <c r="L82" i="3" s="1"/>
  <c r="C83" i="3"/>
  <c r="J83" i="3" s="1"/>
  <c r="L83" i="3" s="1"/>
  <c r="C84" i="3"/>
  <c r="J84" i="3" s="1"/>
  <c r="L84" i="3" s="1"/>
  <c r="C85" i="3"/>
  <c r="J85" i="3" s="1"/>
  <c r="L85" i="3" s="1"/>
  <c r="C86" i="3"/>
  <c r="J86" i="3" s="1"/>
  <c r="L86" i="3" s="1"/>
  <c r="C87" i="3"/>
  <c r="J87" i="3" s="1"/>
  <c r="L87" i="3" s="1"/>
  <c r="C88" i="3"/>
  <c r="J88" i="3" s="1"/>
  <c r="L88" i="3" s="1"/>
  <c r="C89" i="3"/>
  <c r="J89" i="3" s="1"/>
  <c r="L89" i="3" s="1"/>
  <c r="C90" i="3"/>
  <c r="J90" i="3" s="1"/>
  <c r="L90" i="3" s="1"/>
  <c r="C91" i="3"/>
  <c r="J91" i="3" s="1"/>
  <c r="L91" i="3" s="1"/>
  <c r="C92" i="3"/>
  <c r="J92" i="3" s="1"/>
  <c r="L92" i="3" s="1"/>
  <c r="C93" i="3"/>
  <c r="J93" i="3" s="1"/>
  <c r="L93" i="3" s="1"/>
  <c r="C94" i="3"/>
  <c r="J94" i="3" s="1"/>
  <c r="L94" i="3" s="1"/>
  <c r="C95" i="3"/>
  <c r="J95" i="3" s="1"/>
  <c r="L95" i="3" s="1"/>
  <c r="C96" i="3"/>
  <c r="J96" i="3" s="1"/>
  <c r="L96" i="3" s="1"/>
  <c r="C97" i="3"/>
  <c r="J97" i="3" s="1"/>
  <c r="L97" i="3" s="1"/>
  <c r="C98" i="3"/>
  <c r="J98" i="3" s="1"/>
  <c r="L98" i="3" s="1"/>
  <c r="C99" i="3"/>
  <c r="J99" i="3" s="1"/>
  <c r="L99" i="3" s="1"/>
  <c r="C100" i="3"/>
  <c r="J100" i="3" s="1"/>
  <c r="L100" i="3" s="1"/>
  <c r="C101" i="3"/>
  <c r="J101" i="3" s="1"/>
  <c r="L101" i="3" s="1"/>
  <c r="C102" i="3"/>
  <c r="J102" i="3" s="1"/>
  <c r="L102" i="3" s="1"/>
  <c r="C103" i="3"/>
  <c r="J103" i="3" s="1"/>
  <c r="L103" i="3" s="1"/>
  <c r="C104" i="3"/>
  <c r="J104" i="3" s="1"/>
  <c r="L104" i="3" s="1"/>
  <c r="C105" i="3"/>
  <c r="J105" i="3" s="1"/>
  <c r="L105" i="3" s="1"/>
  <c r="C106" i="3"/>
  <c r="J106" i="3" s="1"/>
  <c r="L106" i="3" s="1"/>
  <c r="C107" i="3"/>
  <c r="J107" i="3" s="1"/>
  <c r="L107" i="3" s="1"/>
  <c r="C108" i="3"/>
  <c r="J108" i="3" s="1"/>
  <c r="L108" i="3" s="1"/>
  <c r="C109" i="3"/>
  <c r="J109" i="3" s="1"/>
  <c r="L109" i="3" s="1"/>
  <c r="C110" i="3"/>
  <c r="J110" i="3" s="1"/>
  <c r="L110" i="3" s="1"/>
  <c r="C111" i="3"/>
  <c r="J111" i="3" s="1"/>
  <c r="L111" i="3" s="1"/>
  <c r="C112" i="3"/>
  <c r="J112" i="3" s="1"/>
  <c r="L112" i="3" s="1"/>
  <c r="C113" i="3"/>
  <c r="J113" i="3" s="1"/>
  <c r="L113" i="3" s="1"/>
  <c r="C114" i="3"/>
  <c r="J114" i="3" s="1"/>
  <c r="L114" i="3" s="1"/>
  <c r="C115" i="3"/>
  <c r="J115" i="3" s="1"/>
  <c r="L115" i="3" s="1"/>
  <c r="C116" i="3"/>
  <c r="J116" i="3" s="1"/>
  <c r="L116" i="3" s="1"/>
  <c r="C117" i="3"/>
  <c r="J117" i="3" s="1"/>
  <c r="L117" i="3" s="1"/>
  <c r="C118" i="3"/>
  <c r="J118" i="3" s="1"/>
  <c r="L118" i="3" s="1"/>
  <c r="C119" i="3"/>
  <c r="J119" i="3" s="1"/>
  <c r="L119" i="3" s="1"/>
  <c r="C120" i="3"/>
  <c r="J120" i="3" s="1"/>
  <c r="L120" i="3" s="1"/>
  <c r="C121" i="3"/>
  <c r="J121" i="3" s="1"/>
  <c r="L121" i="3" s="1"/>
  <c r="C122" i="3"/>
  <c r="J122" i="3" s="1"/>
  <c r="L122" i="3" s="1"/>
  <c r="C123" i="3"/>
  <c r="J123" i="3" s="1"/>
  <c r="L123" i="3" s="1"/>
  <c r="C124" i="3"/>
  <c r="J124" i="3" s="1"/>
  <c r="L124" i="3" s="1"/>
  <c r="C125" i="3"/>
  <c r="J125" i="3" s="1"/>
  <c r="L125" i="3" s="1"/>
  <c r="C126" i="3"/>
  <c r="J126" i="3" s="1"/>
  <c r="L126" i="3" s="1"/>
  <c r="C127" i="3"/>
  <c r="J127" i="3" s="1"/>
  <c r="L127" i="3" s="1"/>
  <c r="C128" i="3"/>
  <c r="J128" i="3" s="1"/>
  <c r="L128" i="3" s="1"/>
  <c r="C129" i="3"/>
  <c r="J129" i="3" s="1"/>
  <c r="L129" i="3" s="1"/>
  <c r="C130" i="3"/>
  <c r="J130" i="3" s="1"/>
  <c r="L130" i="3" s="1"/>
  <c r="C131" i="3"/>
  <c r="J131" i="3" s="1"/>
  <c r="L131" i="3" s="1"/>
  <c r="C132" i="3"/>
  <c r="J132" i="3" s="1"/>
  <c r="L132" i="3" s="1"/>
  <c r="C133" i="3"/>
  <c r="J133" i="3" s="1"/>
  <c r="L133" i="3" s="1"/>
  <c r="C134" i="3"/>
  <c r="J134" i="3" s="1"/>
  <c r="L134" i="3" s="1"/>
  <c r="C135" i="3"/>
  <c r="J135" i="3" s="1"/>
  <c r="L135" i="3" s="1"/>
  <c r="C136" i="3"/>
  <c r="J136" i="3" s="1"/>
  <c r="L136" i="3" s="1"/>
  <c r="C137" i="3"/>
  <c r="J137" i="3" s="1"/>
  <c r="L137" i="3" s="1"/>
  <c r="C138" i="3"/>
  <c r="J138" i="3" s="1"/>
  <c r="L138" i="3" s="1"/>
  <c r="C139" i="3"/>
  <c r="J139" i="3" s="1"/>
  <c r="L139" i="3" s="1"/>
  <c r="C140" i="3"/>
  <c r="J140" i="3" s="1"/>
  <c r="L140" i="3" s="1"/>
  <c r="C141" i="3"/>
  <c r="J141" i="3" s="1"/>
  <c r="L141" i="3" s="1"/>
  <c r="C142" i="3"/>
  <c r="J142" i="3" s="1"/>
  <c r="L142" i="3" s="1"/>
  <c r="C143" i="3"/>
  <c r="J143" i="3" s="1"/>
  <c r="L143" i="3" s="1"/>
  <c r="C144" i="3"/>
  <c r="J144" i="3" s="1"/>
  <c r="L144" i="3" s="1"/>
  <c r="C145" i="3"/>
  <c r="J145" i="3" s="1"/>
  <c r="L145" i="3" s="1"/>
  <c r="C146" i="3"/>
  <c r="J146" i="3" s="1"/>
  <c r="L146" i="3" s="1"/>
  <c r="C147" i="3"/>
  <c r="J147" i="3" s="1"/>
  <c r="L147" i="3" s="1"/>
  <c r="C148" i="3"/>
  <c r="J148" i="3" s="1"/>
  <c r="L148" i="3" s="1"/>
  <c r="C149" i="3"/>
  <c r="J149" i="3" s="1"/>
  <c r="L149" i="3" s="1"/>
  <c r="C150" i="3"/>
  <c r="J150" i="3" s="1"/>
  <c r="L150" i="3" s="1"/>
  <c r="C151" i="3"/>
  <c r="J151" i="3" s="1"/>
  <c r="L151" i="3" s="1"/>
  <c r="C152" i="3"/>
  <c r="J152" i="3" s="1"/>
  <c r="L152" i="3" s="1"/>
  <c r="C153" i="3"/>
  <c r="J153" i="3" s="1"/>
  <c r="L153" i="3" s="1"/>
  <c r="C154" i="3"/>
  <c r="J154" i="3" s="1"/>
  <c r="L154" i="3" s="1"/>
  <c r="C155" i="3"/>
  <c r="J155" i="3" s="1"/>
  <c r="L155" i="3" s="1"/>
  <c r="C156" i="3"/>
  <c r="J156" i="3" s="1"/>
  <c r="L156" i="3" s="1"/>
  <c r="C157" i="3"/>
  <c r="J157" i="3" s="1"/>
  <c r="L157" i="3" s="1"/>
  <c r="C158" i="3"/>
  <c r="J158" i="3" s="1"/>
  <c r="L158" i="3" s="1"/>
  <c r="C159" i="3"/>
  <c r="J159" i="3" s="1"/>
  <c r="L159" i="3" s="1"/>
  <c r="C160" i="3"/>
  <c r="J160" i="3" s="1"/>
  <c r="L160" i="3" s="1"/>
  <c r="C161" i="3"/>
  <c r="J161" i="3" s="1"/>
  <c r="L161" i="3" s="1"/>
  <c r="C162" i="3"/>
  <c r="J162" i="3" s="1"/>
  <c r="L162" i="3" s="1"/>
  <c r="C163" i="3"/>
  <c r="J163" i="3" s="1"/>
  <c r="L163" i="3" s="1"/>
  <c r="C164" i="3"/>
  <c r="J164" i="3" s="1"/>
  <c r="L164" i="3" s="1"/>
  <c r="C165" i="3"/>
  <c r="J165" i="3" s="1"/>
  <c r="L165" i="3" s="1"/>
  <c r="C166" i="3"/>
  <c r="J166" i="3" s="1"/>
  <c r="L166" i="3" s="1"/>
  <c r="C167" i="3"/>
  <c r="J167" i="3" s="1"/>
  <c r="L167" i="3" s="1"/>
  <c r="C168" i="3"/>
  <c r="J168" i="3" s="1"/>
  <c r="L168" i="3" s="1"/>
  <c r="C169" i="3"/>
  <c r="J169" i="3" s="1"/>
  <c r="L169" i="3" s="1"/>
  <c r="C170" i="3"/>
  <c r="J170" i="3" s="1"/>
  <c r="L170" i="3" s="1"/>
  <c r="C171" i="3"/>
  <c r="J171" i="3" s="1"/>
  <c r="L171" i="3" s="1"/>
  <c r="C172" i="3"/>
  <c r="J172" i="3" s="1"/>
  <c r="L172" i="3" s="1"/>
  <c r="C173" i="3"/>
  <c r="J173" i="3" s="1"/>
  <c r="L173" i="3" s="1"/>
  <c r="C174" i="3"/>
  <c r="J174" i="3" s="1"/>
  <c r="L174" i="3" s="1"/>
  <c r="C175" i="3"/>
  <c r="J175" i="3" s="1"/>
  <c r="L175" i="3" s="1"/>
  <c r="C176" i="3"/>
  <c r="J176" i="3" s="1"/>
  <c r="L176" i="3" s="1"/>
  <c r="C177" i="3"/>
  <c r="J177" i="3" s="1"/>
  <c r="L177" i="3" s="1"/>
  <c r="C178" i="3"/>
  <c r="J178" i="3" s="1"/>
  <c r="L178" i="3" s="1"/>
  <c r="C179" i="3"/>
  <c r="J179" i="3" s="1"/>
  <c r="L179" i="3" s="1"/>
  <c r="C180" i="3"/>
  <c r="J180" i="3" s="1"/>
  <c r="L180" i="3" s="1"/>
  <c r="C181" i="3"/>
  <c r="J181" i="3" s="1"/>
  <c r="L181" i="3" s="1"/>
  <c r="C182" i="3"/>
  <c r="J182" i="3" s="1"/>
  <c r="L182" i="3" s="1"/>
  <c r="C183" i="3"/>
  <c r="J183" i="3" s="1"/>
  <c r="L183" i="3" s="1"/>
  <c r="C184" i="3"/>
  <c r="J184" i="3" s="1"/>
  <c r="L184" i="3" s="1"/>
  <c r="C185" i="3"/>
  <c r="J185" i="3" s="1"/>
  <c r="L185" i="3" s="1"/>
  <c r="C186" i="3"/>
  <c r="J186" i="3" s="1"/>
  <c r="L186" i="3" s="1"/>
  <c r="C187" i="3"/>
  <c r="J187" i="3" s="1"/>
  <c r="L187" i="3" s="1"/>
  <c r="C188" i="3"/>
  <c r="J188" i="3" s="1"/>
  <c r="L188" i="3" s="1"/>
  <c r="C189" i="3"/>
  <c r="J189" i="3" s="1"/>
  <c r="L189" i="3" s="1"/>
  <c r="C190" i="3"/>
  <c r="J190" i="3" s="1"/>
  <c r="L190" i="3" s="1"/>
  <c r="C191" i="3"/>
  <c r="J191" i="3" s="1"/>
  <c r="L191" i="3" s="1"/>
  <c r="C192" i="3"/>
  <c r="J192" i="3" s="1"/>
  <c r="L192" i="3" s="1"/>
  <c r="C193" i="3"/>
  <c r="J193" i="3" s="1"/>
  <c r="L193" i="3" s="1"/>
  <c r="C194" i="3"/>
  <c r="J194" i="3" s="1"/>
  <c r="L194" i="3" s="1"/>
  <c r="C195" i="3"/>
  <c r="J195" i="3" s="1"/>
  <c r="L195" i="3" s="1"/>
  <c r="C196" i="3"/>
  <c r="J196" i="3" s="1"/>
  <c r="L196" i="3" s="1"/>
  <c r="C197" i="3"/>
  <c r="J197" i="3" s="1"/>
  <c r="L197" i="3" s="1"/>
  <c r="C198" i="3"/>
  <c r="J198" i="3" s="1"/>
  <c r="L198" i="3" s="1"/>
  <c r="C199" i="3"/>
  <c r="J199" i="3" s="1"/>
  <c r="L199" i="3" s="1"/>
  <c r="C200" i="3"/>
  <c r="J200" i="3" s="1"/>
  <c r="L200" i="3" s="1"/>
  <c r="C201" i="3"/>
  <c r="J201" i="3" s="1"/>
  <c r="L201" i="3" s="1"/>
  <c r="C202" i="3"/>
  <c r="J202" i="3" s="1"/>
  <c r="L202" i="3" s="1"/>
  <c r="C203" i="3"/>
  <c r="J203" i="3" s="1"/>
  <c r="L203" i="3" s="1"/>
  <c r="C204" i="3"/>
  <c r="J204" i="3" s="1"/>
  <c r="L204" i="3" s="1"/>
  <c r="C205" i="3"/>
  <c r="J205" i="3" s="1"/>
  <c r="L205" i="3" s="1"/>
  <c r="C206" i="3"/>
  <c r="J206" i="3" s="1"/>
  <c r="L206" i="3" s="1"/>
  <c r="C207" i="3"/>
  <c r="J207" i="3" s="1"/>
  <c r="L207" i="3" s="1"/>
  <c r="C208" i="3"/>
  <c r="J208" i="3" s="1"/>
  <c r="L208" i="3" s="1"/>
  <c r="C209" i="3"/>
  <c r="J209" i="3" s="1"/>
  <c r="L209" i="3" s="1"/>
  <c r="C210" i="3"/>
  <c r="J210" i="3" s="1"/>
  <c r="L210" i="3" s="1"/>
  <c r="C211" i="3"/>
  <c r="J211" i="3" s="1"/>
  <c r="L211" i="3" s="1"/>
  <c r="C212" i="3"/>
  <c r="J212" i="3" s="1"/>
  <c r="L212" i="3" s="1"/>
  <c r="C213" i="3"/>
  <c r="J213" i="3" s="1"/>
  <c r="L213" i="3" s="1"/>
  <c r="C214" i="3"/>
  <c r="J214" i="3" s="1"/>
  <c r="L214" i="3" s="1"/>
  <c r="C215" i="3"/>
  <c r="J215" i="3" s="1"/>
  <c r="L215" i="3" s="1"/>
  <c r="C216" i="3"/>
  <c r="J216" i="3" s="1"/>
  <c r="L216" i="3" s="1"/>
  <c r="C217" i="3"/>
  <c r="J217" i="3" s="1"/>
  <c r="L217" i="3" s="1"/>
  <c r="C218" i="3"/>
  <c r="J218" i="3" s="1"/>
  <c r="L218" i="3" s="1"/>
  <c r="C219" i="3"/>
  <c r="J219" i="3" s="1"/>
  <c r="L219" i="3" s="1"/>
  <c r="C220" i="3"/>
  <c r="J220" i="3" s="1"/>
  <c r="L220" i="3" s="1"/>
  <c r="C221" i="3"/>
  <c r="J221" i="3" s="1"/>
  <c r="L221" i="3" s="1"/>
  <c r="C222" i="3"/>
  <c r="J222" i="3" s="1"/>
  <c r="L222" i="3" s="1"/>
  <c r="C223" i="3"/>
  <c r="J223" i="3" s="1"/>
  <c r="L223" i="3" s="1"/>
  <c r="C224" i="3"/>
  <c r="J224" i="3" s="1"/>
  <c r="L224" i="3" s="1"/>
  <c r="C225" i="3"/>
  <c r="J225" i="3" s="1"/>
  <c r="L225" i="3" s="1"/>
  <c r="C226" i="3"/>
  <c r="J226" i="3" s="1"/>
  <c r="L226" i="3" s="1"/>
  <c r="C227" i="3"/>
  <c r="J227" i="3" s="1"/>
  <c r="L227" i="3" s="1"/>
  <c r="C228" i="3"/>
  <c r="J228" i="3" s="1"/>
  <c r="L228" i="3" s="1"/>
  <c r="C229" i="3"/>
  <c r="J229" i="3" s="1"/>
  <c r="L229" i="3" s="1"/>
  <c r="C230" i="3"/>
  <c r="J230" i="3" s="1"/>
  <c r="L230" i="3" s="1"/>
  <c r="C231" i="3"/>
  <c r="J231" i="3" s="1"/>
  <c r="L231" i="3" s="1"/>
  <c r="C232" i="3"/>
  <c r="J232" i="3" s="1"/>
  <c r="L232" i="3" s="1"/>
  <c r="C233" i="3"/>
  <c r="J233" i="3" s="1"/>
  <c r="L233" i="3" s="1"/>
  <c r="C234" i="3"/>
  <c r="J234" i="3" s="1"/>
  <c r="L234" i="3" s="1"/>
  <c r="C235" i="3"/>
  <c r="J235" i="3" s="1"/>
  <c r="L235" i="3" s="1"/>
  <c r="C236" i="3"/>
  <c r="J236" i="3" s="1"/>
  <c r="L236" i="3" s="1"/>
  <c r="C237" i="3"/>
  <c r="J237" i="3" s="1"/>
  <c r="L237" i="3" s="1"/>
  <c r="C238" i="3"/>
  <c r="J238" i="3" s="1"/>
  <c r="L238" i="3" s="1"/>
  <c r="C239" i="3"/>
  <c r="J239" i="3" s="1"/>
  <c r="L239" i="3" s="1"/>
  <c r="C240" i="3"/>
  <c r="J240" i="3" s="1"/>
  <c r="L240" i="3" s="1"/>
  <c r="C241" i="3"/>
  <c r="J241" i="3" s="1"/>
  <c r="L241" i="3" s="1"/>
  <c r="C242" i="3"/>
  <c r="J242" i="3" s="1"/>
  <c r="L242" i="3" s="1"/>
  <c r="C243" i="3"/>
  <c r="J243" i="3" s="1"/>
  <c r="L243" i="3" s="1"/>
  <c r="C244" i="3"/>
  <c r="J244" i="3" s="1"/>
  <c r="L244" i="3" s="1"/>
  <c r="C245" i="3"/>
  <c r="J245" i="3" s="1"/>
  <c r="L245" i="3" s="1"/>
  <c r="C246" i="3"/>
  <c r="J246" i="3" s="1"/>
  <c r="L246" i="3" s="1"/>
  <c r="C247" i="3"/>
  <c r="J247" i="3" s="1"/>
  <c r="L247" i="3" s="1"/>
  <c r="C248" i="3"/>
  <c r="J248" i="3" s="1"/>
  <c r="L248" i="3" s="1"/>
  <c r="C249" i="3"/>
  <c r="J249" i="3" s="1"/>
  <c r="L249" i="3" s="1"/>
  <c r="C250" i="3"/>
  <c r="J250" i="3" s="1"/>
  <c r="L250" i="3" s="1"/>
  <c r="C251" i="3"/>
  <c r="J251" i="3" s="1"/>
  <c r="L251" i="3" s="1"/>
  <c r="C252" i="3"/>
  <c r="J252" i="3" s="1"/>
  <c r="L252" i="3" s="1"/>
  <c r="C253" i="3"/>
  <c r="J253" i="3" s="1"/>
  <c r="L253" i="3" s="1"/>
  <c r="C254" i="3"/>
  <c r="J254" i="3" s="1"/>
  <c r="L254" i="3" s="1"/>
  <c r="C255" i="3"/>
  <c r="J255" i="3" s="1"/>
  <c r="L255" i="3" s="1"/>
  <c r="C256" i="3"/>
  <c r="J256" i="3" s="1"/>
  <c r="L256" i="3" s="1"/>
  <c r="C257" i="3"/>
  <c r="J257" i="3" s="1"/>
  <c r="L257" i="3" s="1"/>
  <c r="C258" i="3"/>
  <c r="J258" i="3" s="1"/>
  <c r="L258" i="3" s="1"/>
  <c r="C259" i="3"/>
  <c r="J259" i="3" s="1"/>
  <c r="L259" i="3" s="1"/>
  <c r="C260" i="3"/>
  <c r="J260" i="3" s="1"/>
  <c r="L260" i="3" s="1"/>
  <c r="C261" i="3"/>
  <c r="J261" i="3" s="1"/>
  <c r="L261" i="3" s="1"/>
  <c r="C262" i="3"/>
  <c r="J262" i="3" s="1"/>
  <c r="L262" i="3" s="1"/>
  <c r="C263" i="3"/>
  <c r="J263" i="3" s="1"/>
  <c r="L263" i="3" s="1"/>
  <c r="C264" i="3"/>
  <c r="J264" i="3" s="1"/>
  <c r="L264" i="3" s="1"/>
  <c r="C265" i="3"/>
  <c r="J265" i="3" s="1"/>
  <c r="L265" i="3" s="1"/>
  <c r="C266" i="3"/>
  <c r="J266" i="3" s="1"/>
  <c r="L266" i="3" s="1"/>
  <c r="C267" i="3"/>
  <c r="J267" i="3" s="1"/>
  <c r="L267" i="3" s="1"/>
  <c r="C268" i="3"/>
  <c r="J268" i="3" s="1"/>
  <c r="L268" i="3" s="1"/>
  <c r="C269" i="3"/>
  <c r="J269" i="3" s="1"/>
  <c r="L269" i="3" s="1"/>
  <c r="C270" i="3"/>
  <c r="J270" i="3" s="1"/>
  <c r="L270" i="3" s="1"/>
  <c r="C271" i="3"/>
  <c r="J271" i="3" s="1"/>
  <c r="L271" i="3" s="1"/>
  <c r="C272" i="3"/>
  <c r="J272" i="3" s="1"/>
  <c r="L272" i="3" s="1"/>
  <c r="C273" i="3"/>
  <c r="J273" i="3" s="1"/>
  <c r="L273" i="3" s="1"/>
  <c r="C274" i="3"/>
  <c r="J274" i="3" s="1"/>
  <c r="L274" i="3" s="1"/>
  <c r="C275" i="3"/>
  <c r="J275" i="3" s="1"/>
  <c r="L275" i="3" s="1"/>
  <c r="C276" i="3"/>
  <c r="J276" i="3" s="1"/>
  <c r="L276" i="3" s="1"/>
  <c r="C277" i="3"/>
  <c r="J277" i="3" s="1"/>
  <c r="L277" i="3" s="1"/>
  <c r="C278" i="3"/>
  <c r="J278" i="3" s="1"/>
  <c r="L278" i="3" s="1"/>
  <c r="C279" i="3"/>
  <c r="J279" i="3" s="1"/>
  <c r="L279" i="3" s="1"/>
  <c r="C280" i="3"/>
  <c r="J280" i="3" s="1"/>
  <c r="L280" i="3" s="1"/>
  <c r="C281" i="3"/>
  <c r="J281" i="3" s="1"/>
  <c r="L281" i="3" s="1"/>
  <c r="C282" i="3"/>
  <c r="J282" i="3" s="1"/>
  <c r="L282" i="3" s="1"/>
  <c r="C283" i="3"/>
  <c r="J283" i="3" s="1"/>
  <c r="L283" i="3" s="1"/>
  <c r="C284" i="3"/>
  <c r="J284" i="3" s="1"/>
  <c r="L284" i="3" s="1"/>
  <c r="C285" i="3"/>
  <c r="J285" i="3" s="1"/>
  <c r="L285" i="3" s="1"/>
  <c r="C286" i="3"/>
  <c r="J286" i="3" s="1"/>
  <c r="L286" i="3" s="1"/>
  <c r="C287" i="3"/>
  <c r="J287" i="3" s="1"/>
  <c r="L287" i="3" s="1"/>
  <c r="C288" i="3"/>
  <c r="J288" i="3" s="1"/>
  <c r="L288" i="3" s="1"/>
  <c r="C289" i="3"/>
  <c r="J289" i="3" s="1"/>
  <c r="L289" i="3" s="1"/>
  <c r="C290" i="3"/>
  <c r="J290" i="3" s="1"/>
  <c r="L290" i="3" s="1"/>
  <c r="C291" i="3"/>
  <c r="J291" i="3" s="1"/>
  <c r="L291" i="3" s="1"/>
  <c r="C292" i="3"/>
  <c r="J292" i="3" s="1"/>
  <c r="L292" i="3" s="1"/>
  <c r="C293" i="3"/>
  <c r="J293" i="3" s="1"/>
  <c r="L293" i="3" s="1"/>
  <c r="C294" i="3"/>
  <c r="J294" i="3" s="1"/>
  <c r="L294" i="3" s="1"/>
  <c r="C295" i="3"/>
  <c r="J295" i="3" s="1"/>
  <c r="L295" i="3" s="1"/>
  <c r="C296" i="3"/>
  <c r="J296" i="3" s="1"/>
  <c r="L296" i="3" s="1"/>
  <c r="C297" i="3"/>
  <c r="J297" i="3" s="1"/>
  <c r="L297" i="3" s="1"/>
  <c r="C298" i="3"/>
  <c r="J298" i="3" s="1"/>
  <c r="L298" i="3" s="1"/>
  <c r="C299" i="3"/>
  <c r="J299" i="3" s="1"/>
  <c r="L299" i="3" s="1"/>
  <c r="C300" i="3"/>
  <c r="J300" i="3" s="1"/>
  <c r="L300" i="3" s="1"/>
  <c r="C301" i="3"/>
  <c r="J301" i="3" s="1"/>
  <c r="L301" i="3" s="1"/>
  <c r="C302" i="3"/>
  <c r="J302" i="3" s="1"/>
  <c r="L302" i="3" s="1"/>
  <c r="C303" i="3"/>
  <c r="J303" i="3" s="1"/>
  <c r="L303" i="3" s="1"/>
  <c r="C304" i="3"/>
  <c r="J304" i="3" s="1"/>
  <c r="L304" i="3" s="1"/>
  <c r="C305" i="3"/>
  <c r="J305" i="3" s="1"/>
  <c r="L305" i="3" s="1"/>
  <c r="C306" i="3"/>
  <c r="J306" i="3" s="1"/>
  <c r="L306" i="3" s="1"/>
  <c r="C307" i="3"/>
  <c r="J307" i="3" s="1"/>
  <c r="L307" i="3" s="1"/>
  <c r="C308" i="3"/>
  <c r="J308" i="3" s="1"/>
  <c r="L308" i="3" s="1"/>
  <c r="C309" i="3"/>
  <c r="J309" i="3" s="1"/>
  <c r="L309" i="3" s="1"/>
  <c r="C310" i="3"/>
  <c r="J310" i="3" s="1"/>
  <c r="L310" i="3" s="1"/>
  <c r="C311" i="3"/>
  <c r="J311" i="3" s="1"/>
  <c r="L311" i="3" s="1"/>
  <c r="C312" i="3"/>
  <c r="J312" i="3" s="1"/>
  <c r="L312" i="3" s="1"/>
  <c r="C313" i="3"/>
  <c r="J313" i="3" s="1"/>
  <c r="L313" i="3" s="1"/>
  <c r="C314" i="3"/>
  <c r="J314" i="3" s="1"/>
  <c r="L314" i="3" s="1"/>
  <c r="C315" i="3"/>
  <c r="J315" i="3" s="1"/>
  <c r="L315" i="3" s="1"/>
  <c r="C316" i="3"/>
  <c r="J316" i="3" s="1"/>
  <c r="L316" i="3" s="1"/>
  <c r="C317" i="3"/>
  <c r="J317" i="3" s="1"/>
  <c r="L317" i="3" s="1"/>
  <c r="C318" i="3"/>
  <c r="J318" i="3" s="1"/>
  <c r="L318" i="3" s="1"/>
  <c r="C319" i="3"/>
  <c r="J319" i="3" s="1"/>
  <c r="L319" i="3" s="1"/>
  <c r="C320" i="3"/>
  <c r="J320" i="3" s="1"/>
  <c r="L320" i="3" s="1"/>
  <c r="C321" i="3"/>
  <c r="J321" i="3" s="1"/>
  <c r="L321" i="3" s="1"/>
  <c r="C322" i="3"/>
  <c r="J322" i="3" s="1"/>
  <c r="L322" i="3" s="1"/>
  <c r="C323" i="3"/>
  <c r="J323" i="3" s="1"/>
  <c r="L323" i="3" s="1"/>
  <c r="C324" i="3"/>
  <c r="J324" i="3" s="1"/>
  <c r="L324" i="3" s="1"/>
  <c r="C325" i="3"/>
  <c r="J325" i="3" s="1"/>
  <c r="L325" i="3" s="1"/>
  <c r="C326" i="3"/>
  <c r="J326" i="3" s="1"/>
  <c r="L326" i="3" s="1"/>
  <c r="C327" i="3"/>
  <c r="J327" i="3" s="1"/>
  <c r="L327" i="3" s="1"/>
  <c r="C328" i="3"/>
  <c r="J328" i="3" s="1"/>
  <c r="L328" i="3" s="1"/>
  <c r="C329" i="3"/>
  <c r="J329" i="3" s="1"/>
  <c r="L329" i="3" s="1"/>
  <c r="C330" i="3"/>
  <c r="J330" i="3" s="1"/>
  <c r="L330" i="3" s="1"/>
  <c r="C331" i="3"/>
  <c r="J331" i="3" s="1"/>
  <c r="L331" i="3" s="1"/>
  <c r="C332" i="3"/>
  <c r="J332" i="3" s="1"/>
  <c r="L332" i="3" s="1"/>
  <c r="C333" i="3"/>
  <c r="J333" i="3" s="1"/>
  <c r="L333" i="3" s="1"/>
  <c r="C334" i="3"/>
  <c r="J334" i="3" s="1"/>
  <c r="L334" i="3" s="1"/>
  <c r="C335" i="3"/>
  <c r="J335" i="3" s="1"/>
  <c r="L335" i="3" s="1"/>
  <c r="C336" i="3"/>
  <c r="J336" i="3" s="1"/>
  <c r="L336" i="3" s="1"/>
  <c r="C337" i="3"/>
  <c r="J337" i="3" s="1"/>
  <c r="L337" i="3" s="1"/>
  <c r="C338" i="3"/>
  <c r="J338" i="3" s="1"/>
  <c r="L338" i="3" s="1"/>
  <c r="C339" i="3"/>
  <c r="J339" i="3" s="1"/>
  <c r="L339" i="3" s="1"/>
  <c r="C340" i="3"/>
  <c r="J340" i="3" s="1"/>
  <c r="L340" i="3" s="1"/>
  <c r="C341" i="3"/>
  <c r="J341" i="3" s="1"/>
  <c r="L341" i="3" s="1"/>
  <c r="C342" i="3"/>
  <c r="J342" i="3" s="1"/>
  <c r="L342" i="3" s="1"/>
  <c r="C343" i="3"/>
  <c r="J343" i="3" s="1"/>
  <c r="L343" i="3" s="1"/>
  <c r="C344" i="3"/>
  <c r="J344" i="3" s="1"/>
  <c r="L344" i="3" s="1"/>
  <c r="C345" i="3"/>
  <c r="J345" i="3" s="1"/>
  <c r="L345" i="3" s="1"/>
  <c r="C346" i="3"/>
  <c r="J346" i="3" s="1"/>
  <c r="L346" i="3" s="1"/>
  <c r="C347" i="3"/>
  <c r="J347" i="3" s="1"/>
  <c r="L347" i="3" s="1"/>
  <c r="C348" i="3"/>
  <c r="J348" i="3" s="1"/>
  <c r="L348" i="3" s="1"/>
  <c r="C349" i="3"/>
  <c r="J349" i="3" s="1"/>
  <c r="L349" i="3" s="1"/>
  <c r="C350" i="3"/>
  <c r="J350" i="3" s="1"/>
  <c r="L350" i="3" s="1"/>
  <c r="C351" i="3"/>
  <c r="J351" i="3" s="1"/>
  <c r="L351" i="3" s="1"/>
  <c r="C352" i="3"/>
  <c r="J352" i="3" s="1"/>
  <c r="L352" i="3" s="1"/>
  <c r="C353" i="3"/>
  <c r="J353" i="3" s="1"/>
  <c r="L353" i="3" s="1"/>
  <c r="C354" i="3"/>
  <c r="J354" i="3" s="1"/>
  <c r="L354" i="3" s="1"/>
  <c r="C355" i="3"/>
  <c r="J355" i="3" s="1"/>
  <c r="L355" i="3" s="1"/>
  <c r="C356" i="3"/>
  <c r="J356" i="3" s="1"/>
  <c r="L356" i="3" s="1"/>
  <c r="C357" i="3"/>
  <c r="J357" i="3" s="1"/>
  <c r="L357" i="3" s="1"/>
  <c r="C358" i="3"/>
  <c r="J358" i="3" s="1"/>
  <c r="L358" i="3" s="1"/>
  <c r="C359" i="3"/>
  <c r="J359" i="3" s="1"/>
  <c r="L359" i="3" s="1"/>
  <c r="C360" i="3"/>
  <c r="J360" i="3" s="1"/>
  <c r="L360" i="3" s="1"/>
  <c r="C361" i="3"/>
  <c r="J361" i="3" s="1"/>
  <c r="L361" i="3" s="1"/>
  <c r="C362" i="3"/>
  <c r="J362" i="3" s="1"/>
  <c r="L362" i="3" s="1"/>
  <c r="C363" i="3"/>
  <c r="J363" i="3" s="1"/>
  <c r="L363" i="3" s="1"/>
  <c r="C364" i="3"/>
  <c r="J364" i="3" s="1"/>
  <c r="L364" i="3" s="1"/>
  <c r="C365" i="3"/>
  <c r="J365" i="3" s="1"/>
  <c r="L365" i="3" s="1"/>
  <c r="C366" i="3"/>
  <c r="J366" i="3" s="1"/>
  <c r="L366" i="3" s="1"/>
  <c r="C367" i="3"/>
  <c r="J367" i="3" s="1"/>
  <c r="L367" i="3" s="1"/>
  <c r="C3" i="3"/>
  <c r="J3" i="3" s="1"/>
  <c r="L3" i="3" s="1"/>
  <c r="B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" i="3"/>
  <c r="D3" i="3" l="1"/>
  <c r="F3" i="3" s="1"/>
  <c r="H3" i="3" l="1"/>
  <c r="I3" i="3" s="1" a="1"/>
  <c r="I3" i="3" s="1"/>
  <c r="G3" i="3"/>
  <c r="K3" i="3"/>
  <c r="M3" i="3" s="1"/>
  <c r="E3" i="3"/>
  <c r="B4" i="3" l="1"/>
  <c r="D4" i="3" s="1"/>
  <c r="E4" i="3" s="1"/>
  <c r="F4" i="3" l="1"/>
  <c r="H4" i="3" l="1"/>
  <c r="I4" i="3" s="1" a="1"/>
  <c r="I4" i="3" s="1"/>
  <c r="K4" i="3"/>
  <c r="M4" i="3" s="1"/>
  <c r="G4" i="3"/>
  <c r="B5" i="3" l="1"/>
  <c r="D5" i="3" s="1"/>
  <c r="E5" i="3" s="1"/>
  <c r="F5" i="3" l="1"/>
  <c r="G5" i="3" s="1"/>
  <c r="H5" i="3" l="1"/>
  <c r="I5" i="3" s="1" a="1"/>
  <c r="I5" i="3" s="1"/>
  <c r="K5" i="3"/>
  <c r="M5" i="3" s="1"/>
  <c r="B6" i="3" l="1"/>
  <c r="D6" i="3" s="1"/>
  <c r="E6" i="3" s="1"/>
  <c r="F6" i="3" l="1"/>
  <c r="K6" i="3" s="1"/>
  <c r="M6" i="3" s="1"/>
  <c r="H6" i="3" l="1"/>
  <c r="I6" i="3" s="1" a="1"/>
  <c r="I6" i="3" s="1"/>
  <c r="G6" i="3"/>
  <c r="B7" i="3"/>
  <c r="D7" i="3" s="1"/>
  <c r="E7" i="3" s="1"/>
  <c r="F7" i="3" l="1"/>
  <c r="H7" i="3" s="1"/>
  <c r="I7" i="3" s="1" a="1"/>
  <c r="I7" i="3" s="1"/>
  <c r="B8" i="3" l="1"/>
  <c r="D8" i="3" s="1"/>
  <c r="F8" i="3" s="1"/>
  <c r="H8" i="3" s="1"/>
  <c r="I8" i="3" s="1" a="1"/>
  <c r="I8" i="3" s="1"/>
  <c r="G7" i="3"/>
  <c r="K7" i="3"/>
  <c r="M7" i="3" s="1"/>
  <c r="E8" i="3" l="1"/>
  <c r="B9" i="3"/>
  <c r="D9" i="3" s="1"/>
  <c r="E9" i="3" s="1"/>
  <c r="G8" i="3"/>
  <c r="K8" i="3"/>
  <c r="M8" i="3" s="1"/>
  <c r="F9" i="3"/>
  <c r="H9" i="3" l="1"/>
  <c r="I9" i="3" s="1" a="1"/>
  <c r="I9" i="3" s="1"/>
  <c r="G9" i="3"/>
  <c r="K9" i="3"/>
  <c r="M9" i="3" s="1"/>
  <c r="B10" i="3" l="1"/>
  <c r="D10" i="3" s="1"/>
  <c r="E10" i="3" s="1"/>
  <c r="F10" i="3" l="1"/>
  <c r="H10" i="3" s="1"/>
  <c r="I10" i="3" s="1" a="1"/>
  <c r="I10" i="3" s="1"/>
  <c r="K10" i="3" l="1"/>
  <c r="M10" i="3" s="1"/>
  <c r="G10" i="3"/>
  <c r="B11" i="3"/>
  <c r="D11" i="3" s="1"/>
  <c r="E11" i="3" s="1"/>
  <c r="F11" i="3" l="1"/>
  <c r="K11" i="3" s="1"/>
  <c r="M11" i="3" s="1"/>
  <c r="H11" i="3" l="1"/>
  <c r="I11" i="3" s="1" a="1"/>
  <c r="I11" i="3" s="1"/>
  <c r="G11" i="3"/>
  <c r="B12" i="3" l="1"/>
  <c r="D12" i="3" s="1"/>
  <c r="E12" i="3" s="1"/>
  <c r="F12" i="3" l="1"/>
  <c r="K12" i="3" s="1"/>
  <c r="M12" i="3" s="1"/>
  <c r="H12" i="3" l="1"/>
  <c r="I12" i="3" s="1" a="1"/>
  <c r="I12" i="3" s="1"/>
  <c r="G12" i="3"/>
  <c r="B13" i="3" l="1"/>
  <c r="D13" i="3" s="1"/>
  <c r="E13" i="3" s="1"/>
  <c r="F13" i="3" l="1"/>
  <c r="G13" i="3" l="1"/>
  <c r="K13" i="3"/>
  <c r="M13" i="3" s="1"/>
  <c r="H13" i="3"/>
  <c r="I13" i="3" s="1" a="1"/>
  <c r="I13" i="3" s="1"/>
  <c r="B14" i="3" l="1"/>
  <c r="D14" i="3" s="1"/>
  <c r="E14" i="3" s="1"/>
  <c r="F14" i="3" l="1"/>
  <c r="G14" i="3" l="1"/>
  <c r="K14" i="3"/>
  <c r="M14" i="3" s="1"/>
  <c r="H14" i="3"/>
  <c r="I14" i="3" s="1" a="1"/>
  <c r="I14" i="3" s="1"/>
  <c r="B15" i="3" l="1"/>
  <c r="D15" i="3" l="1"/>
  <c r="E15" i="3" s="1"/>
  <c r="F15" i="3" l="1"/>
  <c r="H15" i="3" s="1"/>
  <c r="I15" i="3" s="1" a="1"/>
  <c r="I15" i="3" s="1"/>
  <c r="G15" i="3" l="1"/>
  <c r="K15" i="3"/>
  <c r="M15" i="3" s="1"/>
  <c r="B16" i="3"/>
  <c r="D16" i="3" l="1"/>
  <c r="E16" i="3" s="1"/>
  <c r="F16" i="3" l="1"/>
  <c r="K16" i="3" l="1"/>
  <c r="M16" i="3" s="1"/>
  <c r="H16" i="3"/>
  <c r="I16" i="3" s="1" a="1"/>
  <c r="I16" i="3" s="1"/>
  <c r="G16" i="3"/>
  <c r="B17" i="3" l="1"/>
  <c r="D17" i="3" l="1"/>
  <c r="E17" i="3" s="1"/>
  <c r="F17" i="3" l="1"/>
  <c r="K17" i="3" l="1"/>
  <c r="M17" i="3" s="1"/>
  <c r="H17" i="3"/>
  <c r="I17" i="3" s="1" a="1"/>
  <c r="I17" i="3" s="1"/>
  <c r="G17" i="3"/>
  <c r="B18" i="3" l="1"/>
  <c r="D18" i="3" s="1"/>
  <c r="E18" i="3" s="1"/>
  <c r="F18" i="3" l="1"/>
  <c r="H18" i="3" l="1"/>
  <c r="I18" i="3" s="1" a="1"/>
  <c r="I18" i="3" s="1"/>
  <c r="G18" i="3"/>
  <c r="K18" i="3"/>
  <c r="M18" i="3" s="1"/>
  <c r="B19" i="3" l="1"/>
  <c r="D19" i="3" l="1"/>
  <c r="E19" i="3" s="1"/>
  <c r="F19" i="3" l="1"/>
  <c r="G19" i="3" s="1"/>
  <c r="K19" i="3" l="1"/>
  <c r="M19" i="3" s="1"/>
  <c r="H19" i="3"/>
  <c r="I19" i="3" s="1" a="1"/>
  <c r="I19" i="3" s="1"/>
  <c r="B20" i="3" l="1"/>
  <c r="D20" i="3" s="1"/>
  <c r="E20" i="3" s="1"/>
  <c r="F20" i="3" l="1"/>
  <c r="H20" i="3" s="1"/>
  <c r="I20" i="3" s="1" a="1"/>
  <c r="I20" i="3" s="1"/>
  <c r="K20" i="3" l="1"/>
  <c r="M20" i="3" s="1"/>
  <c r="G20" i="3"/>
  <c r="B21" i="3"/>
  <c r="D21" i="3" s="1"/>
  <c r="E21" i="3" s="1"/>
  <c r="F21" i="3" l="1"/>
  <c r="H21" i="3" s="1"/>
  <c r="I21" i="3" s="1" a="1"/>
  <c r="I21" i="3" s="1"/>
  <c r="K21" i="3" l="1"/>
  <c r="M21" i="3" s="1"/>
  <c r="G21" i="3"/>
  <c r="B22" i="3"/>
  <c r="D22" i="3" s="1"/>
  <c r="E22" i="3" s="1"/>
  <c r="F22" i="3" l="1"/>
  <c r="H22" i="3" l="1"/>
  <c r="I22" i="3" s="1" a="1"/>
  <c r="I22" i="3" s="1"/>
  <c r="G22" i="3"/>
  <c r="K22" i="3"/>
  <c r="M22" i="3" s="1"/>
  <c r="B23" i="3" l="1"/>
  <c r="D23" i="3" l="1"/>
  <c r="E23" i="3" s="1"/>
  <c r="F23" i="3" l="1"/>
  <c r="H23" i="3" s="1"/>
  <c r="I23" i="3" s="1" a="1"/>
  <c r="I23" i="3" s="1"/>
  <c r="K23" i="3" l="1"/>
  <c r="M23" i="3" s="1"/>
  <c r="G23" i="3"/>
  <c r="B24" i="3"/>
  <c r="D24" i="3" s="1"/>
  <c r="E24" i="3" s="1"/>
  <c r="F24" i="3" l="1"/>
  <c r="H24" i="3" l="1"/>
  <c r="I24" i="3" s="1" a="1"/>
  <c r="I24" i="3" s="1"/>
  <c r="G24" i="3"/>
  <c r="K24" i="3"/>
  <c r="M24" i="3" s="1"/>
  <c r="B25" i="3" l="1"/>
  <c r="D25" i="3" l="1"/>
  <c r="E25" i="3" s="1"/>
  <c r="F25" i="3" l="1"/>
  <c r="H25" i="3" s="1"/>
  <c r="I25" i="3" s="1" a="1"/>
  <c r="I25" i="3" s="1"/>
  <c r="K25" i="3" l="1"/>
  <c r="M25" i="3" s="1"/>
  <c r="G25" i="3"/>
  <c r="B26" i="3"/>
  <c r="D26" i="3" l="1"/>
  <c r="E26" i="3" s="1"/>
  <c r="F26" i="3" l="1"/>
  <c r="H26" i="3" s="1"/>
  <c r="I26" i="3" s="1" a="1"/>
  <c r="I26" i="3" s="1"/>
  <c r="K26" i="3" l="1"/>
  <c r="M26" i="3" s="1"/>
  <c r="G26" i="3"/>
  <c r="B27" i="3"/>
  <c r="D27" i="3" l="1"/>
  <c r="E27" i="3" s="1"/>
  <c r="F27" i="3" l="1"/>
  <c r="H27" i="3" s="1"/>
  <c r="I27" i="3" s="1" a="1"/>
  <c r="I27" i="3" s="1"/>
  <c r="K27" i="3" l="1"/>
  <c r="M27" i="3" s="1"/>
  <c r="G27" i="3"/>
  <c r="B28" i="3"/>
  <c r="D28" i="3" s="1"/>
  <c r="E28" i="3" s="1"/>
  <c r="F28" i="3" l="1"/>
  <c r="H28" i="3" l="1"/>
  <c r="I28" i="3" s="1" a="1"/>
  <c r="I28" i="3" s="1"/>
  <c r="G28" i="3"/>
  <c r="K28" i="3"/>
  <c r="M28" i="3" s="1"/>
  <c r="B29" i="3" l="1"/>
  <c r="D29" i="3" s="1"/>
  <c r="E29" i="3" s="1"/>
  <c r="F29" i="3" l="1"/>
  <c r="H29" i="3" l="1"/>
  <c r="I29" i="3" s="1" a="1"/>
  <c r="I29" i="3" s="1"/>
  <c r="G29" i="3"/>
  <c r="K29" i="3"/>
  <c r="M29" i="3" s="1"/>
  <c r="B30" i="3" l="1"/>
  <c r="D30" i="3" l="1"/>
  <c r="E30" i="3" s="1"/>
  <c r="F30" i="3" l="1"/>
  <c r="H30" i="3" s="1"/>
  <c r="I30" i="3" s="1" a="1"/>
  <c r="I30" i="3" s="1"/>
  <c r="G30" i="3" l="1"/>
  <c r="K30" i="3"/>
  <c r="M30" i="3" s="1"/>
  <c r="B31" i="3"/>
  <c r="D31" i="3" s="1"/>
  <c r="E31" i="3" s="1"/>
  <c r="F31" i="3" l="1"/>
  <c r="H31" i="3" l="1"/>
  <c r="I31" i="3" s="1" a="1"/>
  <c r="I31" i="3" s="1"/>
  <c r="K31" i="3"/>
  <c r="M31" i="3" s="1"/>
  <c r="G31" i="3"/>
  <c r="B32" i="3" l="1"/>
  <c r="D32" i="3" l="1"/>
  <c r="E32" i="3" s="1"/>
  <c r="F32" i="3" l="1"/>
  <c r="H32" i="3" l="1"/>
  <c r="I32" i="3" s="1" a="1"/>
  <c r="I32" i="3" s="1"/>
  <c r="G32" i="3"/>
  <c r="K32" i="3"/>
  <c r="M32" i="3" s="1"/>
  <c r="B33" i="3" l="1"/>
  <c r="D33" i="3" l="1"/>
  <c r="E33" i="3" s="1"/>
  <c r="F33" i="3" l="1"/>
  <c r="K33" i="3" l="1"/>
  <c r="M33" i="3" s="1"/>
  <c r="H33" i="3"/>
  <c r="I33" i="3" s="1" a="1"/>
  <c r="I33" i="3" s="1"/>
  <c r="G33" i="3"/>
  <c r="B34" i="3" l="1"/>
  <c r="D34" i="3" l="1"/>
  <c r="E34" i="3" s="1"/>
  <c r="F34" i="3" l="1"/>
  <c r="H34" i="3" s="1"/>
  <c r="I34" i="3" s="1" a="1"/>
  <c r="I34" i="3" s="1"/>
  <c r="G34" i="3" l="1"/>
  <c r="K34" i="3"/>
  <c r="M34" i="3" s="1"/>
  <c r="B35" i="3"/>
  <c r="D35" i="3" l="1"/>
  <c r="E35" i="3" s="1"/>
  <c r="F35" i="3" l="1"/>
  <c r="H35" i="3" l="1"/>
  <c r="I35" i="3" s="1" a="1"/>
  <c r="I35" i="3" s="1"/>
  <c r="G35" i="3"/>
  <c r="K35" i="3"/>
  <c r="M35" i="3" s="1"/>
  <c r="B36" i="3" l="1"/>
  <c r="D36" i="3" l="1"/>
  <c r="E36" i="3" s="1"/>
  <c r="F36" i="3" l="1"/>
  <c r="H36" i="3" l="1"/>
  <c r="I36" i="3" s="1" a="1"/>
  <c r="I36" i="3" s="1"/>
  <c r="G36" i="3"/>
  <c r="K36" i="3"/>
  <c r="M36" i="3" s="1"/>
  <c r="B37" i="3" l="1"/>
  <c r="D37" i="3" l="1"/>
  <c r="E37" i="3" s="1"/>
  <c r="F37" i="3" l="1"/>
  <c r="H37" i="3" l="1"/>
  <c r="I37" i="3" s="1" a="1"/>
  <c r="I37" i="3" s="1"/>
  <c r="G37" i="3"/>
  <c r="K37" i="3"/>
  <c r="M37" i="3" s="1"/>
  <c r="B38" i="3" l="1"/>
  <c r="D38" i="3" l="1"/>
  <c r="E38" i="3" s="1"/>
  <c r="F38" i="3" l="1"/>
  <c r="H38" i="3" l="1"/>
  <c r="I38" i="3" s="1" a="1"/>
  <c r="I38" i="3" s="1"/>
  <c r="G38" i="3"/>
  <c r="K38" i="3"/>
  <c r="M38" i="3" s="1"/>
  <c r="B39" i="3" l="1"/>
  <c r="D39" i="3" l="1"/>
  <c r="E39" i="3" s="1"/>
  <c r="F39" i="3" l="1"/>
  <c r="H39" i="3" l="1"/>
  <c r="I39" i="3" s="1" a="1"/>
  <c r="I39" i="3" s="1"/>
  <c r="G39" i="3"/>
  <c r="K39" i="3"/>
  <c r="M39" i="3" s="1"/>
  <c r="B40" i="3" l="1"/>
  <c r="D40" i="3" l="1"/>
  <c r="E40" i="3" s="1"/>
  <c r="F40" i="3" l="1"/>
  <c r="H40" i="3" s="1"/>
  <c r="I40" i="3" s="1" a="1"/>
  <c r="I40" i="3" s="1"/>
  <c r="G40" i="3" l="1"/>
  <c r="K40" i="3"/>
  <c r="M40" i="3" s="1"/>
  <c r="B41" i="3"/>
  <c r="D41" i="3" l="1"/>
  <c r="E41" i="3" s="1"/>
  <c r="F41" i="3" l="1"/>
  <c r="H41" i="3" s="1"/>
  <c r="I41" i="3" s="1" a="1"/>
  <c r="I41" i="3" s="1"/>
  <c r="K41" i="3" l="1"/>
  <c r="M41" i="3" s="1"/>
  <c r="B42" i="3"/>
  <c r="D42" i="3" s="1"/>
  <c r="E42" i="3" s="1"/>
  <c r="G41" i="3"/>
  <c r="F42" i="3" l="1"/>
  <c r="H42" i="3" l="1"/>
  <c r="I42" i="3" s="1" a="1"/>
  <c r="I42" i="3" s="1"/>
  <c r="G42" i="3"/>
  <c r="K42" i="3"/>
  <c r="M42" i="3" s="1"/>
  <c r="B43" i="3" l="1"/>
  <c r="D43" i="3" l="1"/>
  <c r="E43" i="3" s="1"/>
  <c r="F43" i="3" l="1"/>
  <c r="H43" i="3" s="1"/>
  <c r="I43" i="3" s="1" a="1"/>
  <c r="I43" i="3" s="1"/>
  <c r="B44" i="3" l="1"/>
  <c r="D44" i="3" s="1"/>
  <c r="E44" i="3" s="1"/>
  <c r="K43" i="3"/>
  <c r="M43" i="3" s="1"/>
  <c r="G43" i="3"/>
  <c r="F44" i="3" l="1"/>
  <c r="H44" i="3" l="1"/>
  <c r="I44" i="3" s="1" a="1"/>
  <c r="I44" i="3" s="1"/>
  <c r="G44" i="3"/>
  <c r="K44" i="3"/>
  <c r="M44" i="3" s="1"/>
  <c r="B45" i="3" l="1"/>
  <c r="D45" i="3" l="1"/>
  <c r="E45" i="3" s="1"/>
  <c r="F45" i="3" l="1"/>
  <c r="G45" i="3" s="1"/>
  <c r="K45" i="3" l="1"/>
  <c r="M45" i="3" s="1"/>
  <c r="H45" i="3"/>
  <c r="I45" i="3" s="1" a="1"/>
  <c r="I45" i="3" s="1"/>
  <c r="B46" i="3"/>
  <c r="D46" i="3" s="1"/>
  <c r="E46" i="3" s="1"/>
  <c r="F46" i="3" l="1"/>
  <c r="G46" i="3" s="1"/>
  <c r="H46" i="3" l="1"/>
  <c r="I46" i="3" s="1" a="1"/>
  <c r="I46" i="3" s="1"/>
  <c r="K46" i="3"/>
  <c r="M46" i="3" s="1"/>
  <c r="B47" i="3" l="1"/>
  <c r="D47" i="3" s="1"/>
  <c r="E47" i="3" s="1"/>
  <c r="F47" i="3" l="1"/>
  <c r="H47" i="3" l="1"/>
  <c r="I47" i="3" s="1" a="1"/>
  <c r="I47" i="3" s="1"/>
  <c r="G47" i="3"/>
  <c r="K47" i="3"/>
  <c r="M47" i="3" s="1"/>
  <c r="B48" i="3" l="1"/>
  <c r="D48" i="3" l="1"/>
  <c r="E48" i="3" s="1"/>
  <c r="F48" i="3" l="1"/>
  <c r="H48" i="3" l="1"/>
  <c r="I48" i="3" s="1" a="1"/>
  <c r="I48" i="3" s="1"/>
  <c r="G48" i="3"/>
  <c r="K48" i="3"/>
  <c r="M48" i="3" s="1"/>
  <c r="B49" i="3" l="1"/>
  <c r="D49" i="3" l="1"/>
  <c r="E49" i="3" s="1"/>
  <c r="F49" i="3" l="1"/>
  <c r="H49" i="3" l="1"/>
  <c r="I49" i="3" s="1" a="1"/>
  <c r="I49" i="3" s="1"/>
  <c r="G49" i="3"/>
  <c r="K49" i="3"/>
  <c r="M49" i="3" s="1"/>
  <c r="B50" i="3" l="1"/>
  <c r="D50" i="3" s="1"/>
  <c r="E50" i="3" s="1"/>
  <c r="F50" i="3" l="1"/>
  <c r="H50" i="3" l="1"/>
  <c r="I50" i="3" s="1" a="1"/>
  <c r="I50" i="3" s="1"/>
  <c r="G50" i="3"/>
  <c r="K50" i="3"/>
  <c r="M50" i="3" s="1"/>
  <c r="B51" i="3" l="1"/>
  <c r="D51" i="3" l="1"/>
  <c r="E51" i="3" s="1"/>
  <c r="F51" i="3" l="1"/>
  <c r="H51" i="3"/>
  <c r="I51" i="3" s="1" a="1"/>
  <c r="I51" i="3" s="1"/>
  <c r="G51" i="3"/>
  <c r="K51" i="3"/>
  <c r="M51" i="3" s="1"/>
  <c r="B52" i="3" l="1"/>
  <c r="D52" i="3" l="1"/>
  <c r="E52" i="3" s="1"/>
  <c r="F52" i="3" l="1"/>
  <c r="H52" i="3" s="1"/>
  <c r="G52" i="3" l="1"/>
  <c r="K52" i="3"/>
  <c r="M52" i="3" s="1"/>
  <c r="I52" i="3" a="1"/>
  <c r="I52" i="3" s="1"/>
  <c r="B53" i="3"/>
  <c r="D53" i="3" s="1"/>
  <c r="E53" i="3" s="1"/>
  <c r="F53" i="3" l="1"/>
  <c r="H53" i="3" l="1"/>
  <c r="I53" i="3" s="1" a="1"/>
  <c r="I53" i="3" s="1"/>
  <c r="G53" i="3"/>
  <c r="K53" i="3"/>
  <c r="M53" i="3" s="1"/>
  <c r="B54" i="3" l="1"/>
  <c r="D54" i="3" l="1"/>
  <c r="E54" i="3" s="1"/>
  <c r="F54" i="3" l="1"/>
  <c r="H54" i="3" l="1"/>
  <c r="I54" i="3" s="1" a="1"/>
  <c r="I54" i="3" s="1"/>
  <c r="G54" i="3"/>
  <c r="K54" i="3"/>
  <c r="M54" i="3" s="1"/>
  <c r="B55" i="3" l="1"/>
  <c r="D55" i="3" l="1"/>
  <c r="E55" i="3" s="1"/>
  <c r="F55" i="3" l="1"/>
  <c r="H55" i="3" s="1"/>
  <c r="I55" i="3" s="1" a="1"/>
  <c r="I55" i="3" s="1"/>
  <c r="G55" i="3" l="1"/>
  <c r="K55" i="3"/>
  <c r="M55" i="3" s="1"/>
  <c r="B56" i="3"/>
  <c r="D56" i="3" l="1"/>
  <c r="E56" i="3" s="1"/>
  <c r="F56" i="3" l="1"/>
  <c r="H56" i="3" s="1"/>
  <c r="I56" i="3" s="1" a="1"/>
  <c r="I56" i="3" s="1"/>
  <c r="G56" i="3" l="1"/>
  <c r="K56" i="3"/>
  <c r="M56" i="3" s="1"/>
  <c r="B57" i="3"/>
  <c r="D57" i="3" l="1"/>
  <c r="E57" i="3" s="1"/>
  <c r="F57" i="3" l="1"/>
  <c r="H57" i="3" l="1"/>
  <c r="I57" i="3" s="1" a="1"/>
  <c r="I57" i="3" s="1"/>
  <c r="G57" i="3"/>
  <c r="K57" i="3"/>
  <c r="M57" i="3" s="1"/>
  <c r="B58" i="3" l="1"/>
  <c r="D58" i="3" l="1"/>
  <c r="E58" i="3" s="1"/>
  <c r="F58" i="3" l="1"/>
  <c r="H58" i="3" l="1"/>
  <c r="I58" i="3" s="1" a="1"/>
  <c r="I58" i="3" s="1"/>
  <c r="K58" i="3"/>
  <c r="M58" i="3" s="1"/>
  <c r="G58" i="3"/>
  <c r="B59" i="3" l="1"/>
  <c r="D59" i="3" l="1"/>
  <c r="E59" i="3" s="1"/>
  <c r="F59" i="3" l="1"/>
  <c r="H59" i="3" l="1"/>
  <c r="I59" i="3" s="1" a="1"/>
  <c r="I59" i="3" s="1"/>
  <c r="G59" i="3"/>
  <c r="K59" i="3"/>
  <c r="M59" i="3" s="1"/>
  <c r="B60" i="3" l="1"/>
  <c r="D60" i="3" l="1"/>
  <c r="E60" i="3" s="1"/>
  <c r="F60" i="3" l="1"/>
  <c r="K60" i="3" l="1"/>
  <c r="M60" i="3" s="1"/>
  <c r="H60" i="3"/>
  <c r="I60" i="3" s="1" a="1"/>
  <c r="I60" i="3" s="1"/>
  <c r="G60" i="3"/>
  <c r="B61" i="3" l="1"/>
  <c r="D61" i="3" s="1"/>
  <c r="E61" i="3" s="1"/>
  <c r="F61" i="3" l="1"/>
  <c r="H61" i="3" l="1"/>
  <c r="I61" i="3" s="1" a="1"/>
  <c r="I61" i="3" s="1"/>
  <c r="G61" i="3"/>
  <c r="K61" i="3"/>
  <c r="M61" i="3" s="1"/>
  <c r="B62" i="3" l="1"/>
  <c r="D62" i="3" l="1"/>
  <c r="E62" i="3" s="1"/>
  <c r="F62" i="3" l="1"/>
  <c r="H62" i="3" l="1"/>
  <c r="I62" i="3" s="1" a="1"/>
  <c r="I62" i="3" s="1"/>
  <c r="K62" i="3"/>
  <c r="M62" i="3" s="1"/>
  <c r="G62" i="3"/>
  <c r="B63" i="3" l="1"/>
  <c r="D63" i="3" s="1"/>
  <c r="E63" i="3" s="1"/>
  <c r="F63" i="3" l="1"/>
  <c r="H63" i="3" l="1"/>
  <c r="I63" i="3" s="1" a="1"/>
  <c r="I63" i="3" s="1"/>
  <c r="G63" i="3"/>
  <c r="K63" i="3"/>
  <c r="M63" i="3" s="1"/>
  <c r="B64" i="3" l="1"/>
  <c r="D64" i="3" l="1"/>
  <c r="E64" i="3" s="1"/>
  <c r="F64" i="3" l="1"/>
  <c r="H64" i="3" l="1"/>
  <c r="I64" i="3" s="1" a="1"/>
  <c r="I64" i="3" s="1"/>
  <c r="G64" i="3"/>
  <c r="K64" i="3"/>
  <c r="M64" i="3" s="1"/>
  <c r="B65" i="3" l="1"/>
  <c r="D65" i="3" l="1"/>
  <c r="E65" i="3" s="1"/>
  <c r="F65" i="3" l="1"/>
  <c r="H65" i="3" s="1"/>
  <c r="I65" i="3" s="1" a="1"/>
  <c r="I65" i="3" s="1"/>
  <c r="B66" i="3" l="1"/>
  <c r="D66" i="3" s="1"/>
  <c r="E66" i="3" s="1"/>
  <c r="K65" i="3"/>
  <c r="M65" i="3" s="1"/>
  <c r="G65" i="3"/>
  <c r="F66" i="3" l="1"/>
  <c r="H66" i="3" l="1"/>
  <c r="I66" i="3" s="1" a="1"/>
  <c r="I66" i="3" s="1"/>
  <c r="G66" i="3"/>
  <c r="K66" i="3"/>
  <c r="M66" i="3" s="1"/>
  <c r="B67" i="3" l="1"/>
  <c r="D67" i="3" l="1"/>
  <c r="E67" i="3" s="1"/>
  <c r="F67" i="3" l="1"/>
  <c r="H67" i="3" l="1"/>
  <c r="I67" i="3" s="1" a="1"/>
  <c r="I67" i="3" s="1"/>
  <c r="K67" i="3"/>
  <c r="M67" i="3" s="1"/>
  <c r="G67" i="3"/>
  <c r="B68" i="3" l="1"/>
  <c r="D68" i="3" l="1"/>
  <c r="E68" i="3" s="1"/>
  <c r="F68" i="3" l="1"/>
  <c r="H68" i="3" l="1"/>
  <c r="I68" i="3" s="1" a="1"/>
  <c r="I68" i="3" s="1"/>
  <c r="K68" i="3"/>
  <c r="M68" i="3" s="1"/>
  <c r="G68" i="3"/>
  <c r="B69" i="3" l="1"/>
  <c r="D69" i="3" l="1"/>
  <c r="E69" i="3" s="1"/>
  <c r="F69" i="3" l="1"/>
  <c r="H69" i="3" s="1"/>
  <c r="I69" i="3" s="1" a="1"/>
  <c r="I69" i="3" s="1"/>
  <c r="K69" i="3" l="1"/>
  <c r="M69" i="3" s="1"/>
  <c r="G69" i="3"/>
  <c r="B70" i="3"/>
  <c r="D70" i="3" l="1"/>
  <c r="E70" i="3" s="1"/>
  <c r="F70" i="3" l="1"/>
  <c r="H70" i="3" l="1"/>
  <c r="I70" i="3" s="1" a="1"/>
  <c r="I70" i="3" s="1"/>
  <c r="G70" i="3"/>
  <c r="K70" i="3"/>
  <c r="M70" i="3" s="1"/>
  <c r="B71" i="3" l="1"/>
  <c r="D71" i="3" s="1"/>
  <c r="E71" i="3" s="1"/>
  <c r="F71" i="3" l="1"/>
  <c r="H71" i="3" s="1"/>
  <c r="I71" i="3" s="1" a="1"/>
  <c r="I71" i="3" s="1"/>
  <c r="G71" i="3" l="1"/>
  <c r="K71" i="3"/>
  <c r="M71" i="3" s="1"/>
  <c r="B72" i="3"/>
  <c r="D72" i="3" s="1"/>
  <c r="E72" i="3" s="1"/>
  <c r="F72" i="3" l="1"/>
  <c r="H72" i="3" l="1"/>
  <c r="I72" i="3" s="1" a="1"/>
  <c r="I72" i="3" s="1"/>
  <c r="G72" i="3"/>
  <c r="K72" i="3"/>
  <c r="M72" i="3" s="1"/>
  <c r="B73" i="3" l="1"/>
  <c r="D73" i="3" s="1"/>
  <c r="E73" i="3" s="1"/>
  <c r="F73" i="3" l="1"/>
  <c r="H73" i="3" s="1"/>
  <c r="I73" i="3" s="1" a="1"/>
  <c r="I73" i="3" s="1"/>
  <c r="G73" i="3" l="1"/>
  <c r="K73" i="3"/>
  <c r="M73" i="3" s="1"/>
  <c r="B74" i="3"/>
  <c r="D74" i="3" s="1"/>
  <c r="E74" i="3" s="1"/>
  <c r="F74" i="3" l="1"/>
  <c r="H74" i="3" l="1"/>
  <c r="I74" i="3" s="1" a="1"/>
  <c r="I74" i="3" s="1"/>
  <c r="G74" i="3"/>
  <c r="K74" i="3"/>
  <c r="M74" i="3" s="1"/>
  <c r="B75" i="3" l="1"/>
  <c r="D75" i="3" s="1"/>
  <c r="E75" i="3" s="1"/>
  <c r="F75" i="3" l="1"/>
  <c r="H75" i="3" s="1"/>
  <c r="I75" i="3" s="1" a="1"/>
  <c r="I75" i="3" s="1"/>
  <c r="B76" i="3" l="1"/>
  <c r="D76" i="3" s="1"/>
  <c r="E76" i="3" s="1"/>
  <c r="G75" i="3"/>
  <c r="K75" i="3"/>
  <c r="M75" i="3" s="1"/>
  <c r="F76" i="3" l="1"/>
  <c r="H76" i="3" s="1"/>
  <c r="I76" i="3" s="1" a="1"/>
  <c r="I76" i="3" s="1"/>
  <c r="B77" i="3" l="1"/>
  <c r="D77" i="3" s="1"/>
  <c r="E77" i="3" s="1"/>
  <c r="G76" i="3"/>
  <c r="K76" i="3"/>
  <c r="M76" i="3" s="1"/>
  <c r="F77" i="3" l="1"/>
  <c r="H77" i="3" s="1"/>
  <c r="I77" i="3" s="1" a="1"/>
  <c r="I77" i="3" s="1"/>
  <c r="G77" i="3" l="1"/>
  <c r="K77" i="3"/>
  <c r="M77" i="3" s="1"/>
  <c r="B78" i="3"/>
  <c r="D78" i="3" s="1"/>
  <c r="E78" i="3" l="1"/>
  <c r="F78" i="3"/>
  <c r="G78" i="3" s="1"/>
  <c r="K78" i="3" l="1"/>
  <c r="M78" i="3" s="1"/>
  <c r="H78" i="3"/>
  <c r="I78" i="3" l="1" a="1"/>
  <c r="I78" i="3" s="1"/>
  <c r="B79" i="3"/>
  <c r="D79" i="3" s="1"/>
  <c r="E79" i="3" s="1"/>
  <c r="F79" i="3" l="1"/>
  <c r="H79" i="3" l="1"/>
  <c r="K79" i="3"/>
  <c r="M79" i="3" s="1"/>
  <c r="G79" i="3"/>
  <c r="I79" i="3" l="1" a="1"/>
  <c r="I79" i="3" s="1"/>
  <c r="B80" i="3"/>
  <c r="D80" i="3" l="1"/>
  <c r="E80" i="3" s="1"/>
  <c r="F80" i="3" l="1"/>
  <c r="K80" i="3" s="1"/>
  <c r="M80" i="3" s="1"/>
  <c r="H80" i="3" l="1"/>
  <c r="I80" i="3" s="1" a="1"/>
  <c r="I80" i="3" s="1"/>
  <c r="G80" i="3"/>
  <c r="B81" i="3" l="1"/>
  <c r="D81" i="3" s="1"/>
  <c r="E81" i="3" s="1"/>
  <c r="F81" i="3" l="1"/>
  <c r="H81" i="3" s="1"/>
  <c r="I81" i="3" s="1" a="1"/>
  <c r="I81" i="3" s="1"/>
  <c r="G81" i="3"/>
  <c r="B82" i="3"/>
  <c r="K81" i="3" l="1"/>
  <c r="M81" i="3" s="1"/>
  <c r="D82" i="3"/>
  <c r="E82" i="3" s="1"/>
  <c r="F82" i="3" l="1"/>
  <c r="K82" i="3" l="1"/>
  <c r="M82" i="3" s="1"/>
  <c r="H82" i="3"/>
  <c r="I82" i="3" s="1" a="1"/>
  <c r="I82" i="3" s="1"/>
  <c r="G82" i="3"/>
  <c r="B83" i="3" l="1"/>
  <c r="D83" i="3" l="1"/>
  <c r="E83" i="3" s="1"/>
  <c r="F83" i="3" l="1"/>
  <c r="G83" i="3" s="1"/>
  <c r="H83" i="3" l="1"/>
  <c r="I83" i="3" s="1" a="1"/>
  <c r="I83" i="3" s="1"/>
  <c r="K83" i="3"/>
  <c r="M83" i="3" s="1"/>
  <c r="B84" i="3" l="1"/>
  <c r="D84" i="3" s="1"/>
  <c r="E84" i="3" s="1"/>
  <c r="F84" i="3" l="1"/>
  <c r="H84" i="3" l="1"/>
  <c r="I84" i="3" s="1" a="1"/>
  <c r="I84" i="3" s="1"/>
  <c r="G84" i="3"/>
  <c r="K84" i="3"/>
  <c r="M84" i="3" s="1"/>
  <c r="B85" i="3" l="1"/>
  <c r="D85" i="3" l="1"/>
  <c r="E85" i="3" s="1"/>
  <c r="F85" i="3" l="1"/>
  <c r="H85" i="3" l="1"/>
  <c r="I85" i="3" s="1" a="1"/>
  <c r="I85" i="3" s="1"/>
  <c r="G85" i="3"/>
  <c r="K85" i="3"/>
  <c r="M85" i="3" s="1"/>
  <c r="B86" i="3" l="1"/>
  <c r="D86" i="3" s="1"/>
  <c r="E86" i="3" s="1"/>
  <c r="F86" i="3" l="1"/>
  <c r="H86" i="3" l="1"/>
  <c r="I86" i="3" s="1" a="1"/>
  <c r="I86" i="3" s="1"/>
  <c r="G86" i="3"/>
  <c r="K86" i="3"/>
  <c r="M86" i="3" s="1"/>
  <c r="B87" i="3" l="1"/>
  <c r="D87" i="3" l="1"/>
  <c r="E87" i="3" s="1"/>
  <c r="F87" i="3" l="1"/>
  <c r="K87" i="3" l="1"/>
  <c r="M87" i="3" s="1"/>
  <c r="H87" i="3"/>
  <c r="I87" i="3" s="1" a="1"/>
  <c r="I87" i="3" s="1"/>
  <c r="G87" i="3"/>
  <c r="B88" i="3" l="1"/>
  <c r="D88" i="3" s="1"/>
  <c r="E88" i="3" s="1"/>
  <c r="F88" i="3" l="1"/>
  <c r="H88" i="3" l="1"/>
  <c r="I88" i="3" s="1" a="1"/>
  <c r="I88" i="3" s="1"/>
  <c r="G88" i="3"/>
  <c r="K88" i="3"/>
  <c r="M88" i="3" s="1"/>
  <c r="B89" i="3" l="1"/>
  <c r="D89" i="3" l="1"/>
  <c r="E89" i="3" s="1"/>
  <c r="F89" i="3" l="1"/>
  <c r="H89" i="3" s="1"/>
  <c r="I89" i="3" s="1" a="1"/>
  <c r="I89" i="3" s="1"/>
  <c r="K89" i="3" l="1"/>
  <c r="M89" i="3" s="1"/>
  <c r="G89" i="3"/>
  <c r="B90" i="3"/>
  <c r="D90" i="3" s="1"/>
  <c r="E90" i="3" s="1"/>
  <c r="F90" i="3" l="1"/>
  <c r="H90" i="3" l="1"/>
  <c r="I90" i="3" s="1" a="1"/>
  <c r="I90" i="3" s="1"/>
  <c r="G90" i="3"/>
  <c r="K90" i="3"/>
  <c r="M90" i="3" s="1"/>
  <c r="B91" i="3" l="1"/>
  <c r="D91" i="3" s="1"/>
  <c r="E91" i="3" s="1"/>
  <c r="F91" i="3" l="1"/>
  <c r="K91" i="3" s="1"/>
  <c r="M91" i="3" s="1"/>
  <c r="H91" i="3" l="1"/>
  <c r="I91" i="3" s="1" a="1"/>
  <c r="I91" i="3" s="1"/>
  <c r="G91" i="3"/>
  <c r="B92" i="3" l="1"/>
  <c r="D92" i="3" s="1"/>
  <c r="E92" i="3" s="1"/>
  <c r="F92" i="3" l="1"/>
  <c r="H92" i="3"/>
  <c r="I92" i="3" s="1" a="1"/>
  <c r="I92" i="3" s="1"/>
  <c r="G92" i="3"/>
  <c r="K92" i="3"/>
  <c r="M92" i="3" s="1"/>
  <c r="B93" i="3" l="1"/>
  <c r="D93" i="3" l="1"/>
  <c r="E93" i="3" s="1"/>
  <c r="F93" i="3" l="1"/>
  <c r="H93" i="3" s="1"/>
  <c r="I93" i="3" s="1" a="1"/>
  <c r="I93" i="3" s="1"/>
  <c r="G93" i="3" l="1"/>
  <c r="K93" i="3"/>
  <c r="M93" i="3" s="1"/>
  <c r="B94" i="3"/>
  <c r="D94" i="3" s="1"/>
  <c r="E94" i="3" s="1"/>
  <c r="F94" i="3" l="1"/>
  <c r="H94" i="3" s="1"/>
  <c r="I94" i="3" s="1" a="1"/>
  <c r="I94" i="3" s="1"/>
  <c r="K94" i="3" l="1"/>
  <c r="M94" i="3" s="1"/>
  <c r="G94" i="3"/>
  <c r="B95" i="3"/>
  <c r="D95" i="3" s="1"/>
  <c r="E95" i="3" s="1"/>
  <c r="F95" i="3" l="1"/>
  <c r="K95" i="3" l="1"/>
  <c r="M95" i="3" s="1"/>
  <c r="G95" i="3"/>
  <c r="H95" i="3"/>
  <c r="I95" i="3" s="1" a="1"/>
  <c r="I95" i="3" s="1"/>
  <c r="B96" i="3" l="1"/>
  <c r="D96" i="3" l="1"/>
  <c r="E96" i="3" s="1"/>
  <c r="F96" i="3" l="1"/>
  <c r="H96" i="3" s="1"/>
  <c r="I96" i="3" s="1" a="1"/>
  <c r="I96" i="3" s="1"/>
  <c r="K96" i="3" l="1"/>
  <c r="M96" i="3" s="1"/>
  <c r="G96" i="3"/>
  <c r="B97" i="3"/>
  <c r="D97" i="3" l="1"/>
  <c r="E97" i="3" s="1"/>
  <c r="F97" i="3" l="1"/>
  <c r="H97" i="3" l="1"/>
  <c r="I97" i="3" s="1" a="1"/>
  <c r="I97" i="3" s="1"/>
  <c r="G97" i="3"/>
  <c r="K97" i="3"/>
  <c r="M97" i="3" s="1"/>
  <c r="B98" i="3" l="1"/>
  <c r="D98" i="3" s="1"/>
  <c r="E98" i="3" s="1"/>
  <c r="F98" i="3" l="1"/>
  <c r="K98" i="3" l="1"/>
  <c r="M98" i="3" s="1"/>
  <c r="G98" i="3"/>
  <c r="H98" i="3"/>
  <c r="I98" i="3" s="1" a="1"/>
  <c r="I98" i="3" s="1"/>
  <c r="B99" i="3" l="1"/>
  <c r="D99" i="3" s="1"/>
  <c r="E99" i="3" s="1"/>
  <c r="F99" i="3" l="1"/>
  <c r="G99" i="3" s="1"/>
  <c r="H99" i="3" l="1"/>
  <c r="I99" i="3" s="1" a="1"/>
  <c r="I99" i="3" s="1"/>
  <c r="K99" i="3"/>
  <c r="M99" i="3" s="1"/>
  <c r="B100" i="3" l="1"/>
  <c r="D100" i="3" s="1"/>
  <c r="E100" i="3" s="1"/>
  <c r="F100" i="3" l="1"/>
  <c r="H100" i="3" s="1"/>
  <c r="I100" i="3" s="1" a="1"/>
  <c r="I100" i="3" s="1"/>
  <c r="B101" i="3" l="1"/>
  <c r="D101" i="3" s="1"/>
  <c r="E101" i="3" s="1"/>
  <c r="G100" i="3"/>
  <c r="K100" i="3"/>
  <c r="M100" i="3" s="1"/>
  <c r="F101" i="3" l="1"/>
  <c r="K101" i="3" l="1"/>
  <c r="M101" i="3" s="1"/>
  <c r="G101" i="3"/>
  <c r="H101" i="3"/>
  <c r="I101" i="3" s="1" a="1"/>
  <c r="I101" i="3" s="1"/>
  <c r="B102" i="3" l="1"/>
  <c r="D102" i="3" s="1"/>
  <c r="E102" i="3" s="1"/>
  <c r="F102" i="3" l="1"/>
  <c r="H102" i="3" s="1"/>
  <c r="I102" i="3" s="1" a="1"/>
  <c r="I102" i="3" s="1"/>
  <c r="K102" i="3" l="1"/>
  <c r="M102" i="3" s="1"/>
  <c r="G102" i="3"/>
  <c r="B103" i="3"/>
  <c r="D103" i="3" s="1"/>
  <c r="E103" i="3" s="1"/>
  <c r="F103" i="3" l="1"/>
  <c r="H103" i="3" l="1"/>
  <c r="I103" i="3" s="1" a="1"/>
  <c r="I103" i="3" s="1"/>
  <c r="K103" i="3"/>
  <c r="M103" i="3" s="1"/>
  <c r="G103" i="3"/>
  <c r="B104" i="3" l="1"/>
  <c r="D104" i="3" s="1"/>
  <c r="E104" i="3" s="1"/>
  <c r="F104" i="3" l="1"/>
  <c r="H104" i="3" l="1"/>
  <c r="I104" i="3" s="1" a="1"/>
  <c r="I104" i="3" s="1"/>
  <c r="G104" i="3"/>
  <c r="K104" i="3"/>
  <c r="M104" i="3" s="1"/>
  <c r="B105" i="3" l="1"/>
  <c r="D105" i="3" s="1"/>
  <c r="E105" i="3" s="1"/>
  <c r="F105" i="3" l="1"/>
  <c r="H105" i="3" s="1"/>
  <c r="I105" i="3" s="1" a="1"/>
  <c r="I105" i="3" s="1"/>
  <c r="G105" i="3" l="1"/>
  <c r="K105" i="3"/>
  <c r="M105" i="3" s="1"/>
  <c r="B106" i="3"/>
  <c r="D106" i="3" s="1"/>
  <c r="E106" i="3" s="1"/>
  <c r="F106" i="3" l="1"/>
  <c r="H106" i="3" s="1"/>
  <c r="I106" i="3" s="1" a="1"/>
  <c r="I106" i="3" s="1"/>
  <c r="K106" i="3" l="1"/>
  <c r="M106" i="3" s="1"/>
  <c r="G106" i="3"/>
  <c r="B107" i="3"/>
  <c r="D107" i="3" l="1"/>
  <c r="E107" i="3" s="1"/>
  <c r="F107" i="3" l="1"/>
  <c r="K107" i="3" l="1"/>
  <c r="M107" i="3" s="1"/>
  <c r="H107" i="3"/>
  <c r="I107" i="3" s="1" a="1"/>
  <c r="I107" i="3" s="1"/>
  <c r="G107" i="3"/>
  <c r="B108" i="3" l="1"/>
  <c r="D108" i="3" l="1"/>
  <c r="E108" i="3" s="1"/>
  <c r="F108" i="3" l="1"/>
  <c r="G108" i="3" s="1"/>
  <c r="H108" i="3" l="1"/>
  <c r="I108" i="3" s="1" a="1"/>
  <c r="I108" i="3" s="1"/>
  <c r="K108" i="3"/>
  <c r="M108" i="3" s="1"/>
  <c r="B109" i="3" l="1"/>
  <c r="D109" i="3" s="1"/>
  <c r="E109" i="3" s="1"/>
  <c r="F109" i="3" l="1"/>
  <c r="H109" i="3" s="1"/>
  <c r="I109" i="3" s="1" a="1"/>
  <c r="I109" i="3" s="1"/>
  <c r="B110" i="3" l="1"/>
  <c r="D110" i="3" s="1"/>
  <c r="E110" i="3" s="1"/>
  <c r="G109" i="3"/>
  <c r="K109" i="3"/>
  <c r="M109" i="3" s="1"/>
  <c r="F110" i="3" l="1"/>
  <c r="G110" i="3" s="1"/>
  <c r="H110" i="3" l="1"/>
  <c r="I110" i="3" s="1" a="1"/>
  <c r="I110" i="3" s="1"/>
  <c r="K110" i="3"/>
  <c r="M110" i="3" s="1"/>
  <c r="B111" i="3" l="1"/>
  <c r="D111" i="3" s="1"/>
  <c r="E111" i="3" s="1"/>
  <c r="F111" i="3" l="1"/>
  <c r="H111" i="3" s="1"/>
  <c r="I111" i="3" s="1" a="1"/>
  <c r="I111" i="3" s="1"/>
  <c r="K111" i="3"/>
  <c r="M111" i="3" s="1"/>
  <c r="G111" i="3"/>
  <c r="B112" i="3" l="1"/>
  <c r="D112" i="3" s="1"/>
  <c r="E112" i="3" s="1"/>
  <c r="F112" i="3" l="1"/>
  <c r="G112" i="3" s="1"/>
  <c r="K112" i="3" l="1"/>
  <c r="M112" i="3" s="1"/>
  <c r="H112" i="3"/>
  <c r="I112" i="3" s="1" a="1"/>
  <c r="I112" i="3" s="1"/>
  <c r="B113" i="3" l="1"/>
  <c r="D113" i="3" s="1"/>
  <c r="E113" i="3" s="1"/>
  <c r="F113" i="3" l="1"/>
  <c r="H113" i="3" s="1"/>
  <c r="I113" i="3" s="1" a="1"/>
  <c r="I113" i="3" s="1"/>
  <c r="B114" i="3" l="1"/>
  <c r="D114" i="3" s="1"/>
  <c r="E114" i="3" s="1"/>
  <c r="K113" i="3"/>
  <c r="M113" i="3" s="1"/>
  <c r="G113" i="3"/>
  <c r="F114" i="3" l="1"/>
  <c r="H114" i="3" s="1"/>
  <c r="I114" i="3" s="1" a="1"/>
  <c r="I114" i="3" s="1"/>
  <c r="G114" i="3" l="1"/>
  <c r="B115" i="3"/>
  <c r="D115" i="3" s="1"/>
  <c r="E115" i="3" s="1"/>
  <c r="K114" i="3"/>
  <c r="M114" i="3" s="1"/>
  <c r="F115" i="3"/>
  <c r="H115" i="3" s="1"/>
  <c r="K115" i="3"/>
  <c r="M115" i="3" s="1"/>
  <c r="G115" i="3"/>
  <c r="I115" i="3" l="1" a="1"/>
  <c r="I115" i="3" s="1"/>
  <c r="B116" i="3"/>
  <c r="D116" i="3"/>
  <c r="E116" i="3" s="1"/>
  <c r="F116" i="3"/>
  <c r="H116" i="3" l="1"/>
  <c r="I116" i="3" s="1" a="1"/>
  <c r="I116" i="3" s="1"/>
  <c r="G116" i="3"/>
  <c r="K116" i="3"/>
  <c r="M116" i="3" s="1"/>
  <c r="B117" i="3" l="1"/>
  <c r="D117" i="3" s="1"/>
  <c r="E117" i="3" s="1"/>
  <c r="F117" i="3" l="1"/>
  <c r="H117" i="3" s="1"/>
  <c r="I117" i="3" s="1" a="1"/>
  <c r="I117" i="3" s="1"/>
  <c r="K117" i="3" l="1"/>
  <c r="M117" i="3" s="1"/>
  <c r="G117" i="3"/>
  <c r="B118" i="3"/>
  <c r="D118" i="3" s="1"/>
  <c r="E118" i="3" s="1"/>
  <c r="F118" i="3" l="1"/>
  <c r="G118" i="3" s="1"/>
  <c r="H118" i="3" l="1"/>
  <c r="I118" i="3" s="1" a="1"/>
  <c r="I118" i="3" s="1"/>
  <c r="K118" i="3"/>
  <c r="M118" i="3" s="1"/>
  <c r="B119" i="3" l="1"/>
  <c r="D119" i="3" s="1"/>
  <c r="E119" i="3" s="1"/>
  <c r="F119" i="3" l="1"/>
  <c r="H119" i="3" l="1"/>
  <c r="I119" i="3" s="1" a="1"/>
  <c r="I119" i="3" s="1"/>
  <c r="G119" i="3"/>
  <c r="K119" i="3"/>
  <c r="M119" i="3" s="1"/>
  <c r="B120" i="3" l="1"/>
  <c r="D120" i="3" l="1"/>
  <c r="E120" i="3" s="1"/>
  <c r="F120" i="3" l="1"/>
  <c r="H120" i="3" s="1"/>
  <c r="I120" i="3" s="1" a="1"/>
  <c r="I120" i="3" s="1"/>
  <c r="K120" i="3"/>
  <c r="M120" i="3" s="1"/>
  <c r="G120" i="3" l="1"/>
  <c r="B121" i="3"/>
  <c r="D121" i="3"/>
  <c r="E121" i="3" s="1"/>
  <c r="F121" i="3"/>
  <c r="H121" i="3" l="1"/>
  <c r="I121" i="3" s="1" a="1"/>
  <c r="I121" i="3" s="1"/>
  <c r="G121" i="3"/>
  <c r="K121" i="3"/>
  <c r="M121" i="3" s="1"/>
  <c r="B122" i="3" l="1"/>
  <c r="D122" i="3" s="1"/>
  <c r="E122" i="3" s="1"/>
  <c r="F122" i="3" l="1"/>
  <c r="H122" i="3"/>
  <c r="I122" i="3" s="1" a="1"/>
  <c r="I122" i="3" s="1"/>
  <c r="G122" i="3"/>
  <c r="K122" i="3"/>
  <c r="M122" i="3" s="1"/>
  <c r="B123" i="3" l="1"/>
  <c r="D123" i="3" s="1"/>
  <c r="E123" i="3" s="1"/>
  <c r="F123" i="3" l="1"/>
  <c r="H123" i="3" s="1"/>
  <c r="I123" i="3" s="1" a="1"/>
  <c r="I123" i="3" s="1"/>
  <c r="G123" i="3" l="1"/>
  <c r="K123" i="3"/>
  <c r="M123" i="3" s="1"/>
  <c r="B124" i="3"/>
  <c r="D124" i="3"/>
  <c r="E124" i="3" s="1"/>
  <c r="F124" i="3" l="1"/>
  <c r="K124" i="3" s="1"/>
  <c r="M124" i="3" s="1"/>
  <c r="G124" i="3" l="1"/>
  <c r="H124" i="3"/>
  <c r="I124" i="3" s="1" a="1"/>
  <c r="I124" i="3" s="1"/>
  <c r="B125" i="3"/>
  <c r="D125" i="3" l="1"/>
  <c r="E125" i="3" s="1"/>
  <c r="F125" i="3" l="1"/>
  <c r="G125" i="3" s="1"/>
  <c r="K125" i="3" l="1"/>
  <c r="M125" i="3" s="1"/>
  <c r="H125" i="3"/>
  <c r="I125" i="3" s="1" a="1"/>
  <c r="I125" i="3" s="1"/>
  <c r="B126" i="3" l="1"/>
  <c r="D126" i="3" s="1"/>
  <c r="E126" i="3" s="1"/>
  <c r="F126" i="3" l="1"/>
  <c r="K126" i="3" s="1"/>
  <c r="M126" i="3" s="1"/>
  <c r="G126" i="3" l="1"/>
  <c r="H126" i="3"/>
  <c r="I126" i="3" s="1" a="1"/>
  <c r="I126" i="3" s="1"/>
  <c r="B127" i="3" l="1"/>
  <c r="D127" i="3" s="1"/>
  <c r="E127" i="3" s="1"/>
  <c r="F127" i="3"/>
  <c r="H127" i="3" s="1"/>
  <c r="G127" i="3" l="1"/>
  <c r="K127" i="3"/>
  <c r="M127" i="3" s="1"/>
  <c r="I127" i="3" a="1"/>
  <c r="I127" i="3" s="1"/>
  <c r="B128" i="3"/>
  <c r="D128" i="3" s="1"/>
  <c r="E128" i="3" s="1"/>
  <c r="F128" i="3" l="1"/>
  <c r="H128" i="3" l="1"/>
  <c r="I128" i="3" s="1" a="1"/>
  <c r="I128" i="3" s="1"/>
  <c r="K128" i="3"/>
  <c r="M128" i="3" s="1"/>
  <c r="G128" i="3"/>
  <c r="B129" i="3" l="1"/>
  <c r="D129" i="3"/>
  <c r="E129" i="3" s="1"/>
  <c r="F129" i="3" l="1"/>
  <c r="H129" i="3" s="1"/>
  <c r="G129" i="3"/>
  <c r="K129" i="3"/>
  <c r="M129" i="3" s="1"/>
  <c r="I129" i="3" l="1" a="1"/>
  <c r="I129" i="3" s="1"/>
  <c r="B130" i="3"/>
  <c r="D130" i="3"/>
  <c r="E130" i="3" s="1"/>
  <c r="F130" i="3" l="1"/>
  <c r="H130" i="3"/>
  <c r="I130" i="3" s="1" a="1"/>
  <c r="I130" i="3" s="1"/>
  <c r="G130" i="3"/>
  <c r="K130" i="3"/>
  <c r="M130" i="3" s="1"/>
  <c r="B131" i="3" l="1"/>
  <c r="D131" i="3" s="1"/>
  <c r="E131" i="3" s="1"/>
  <c r="F131" i="3" l="1"/>
  <c r="H131" i="3" s="1"/>
  <c r="G131" i="3"/>
  <c r="K131" i="3"/>
  <c r="M131" i="3" s="1"/>
  <c r="I131" i="3" l="1" a="1"/>
  <c r="I131" i="3" s="1"/>
  <c r="B132" i="3"/>
  <c r="D132" i="3"/>
  <c r="E132" i="3" s="1"/>
  <c r="F132" i="3"/>
  <c r="H132" i="3" l="1"/>
  <c r="I132" i="3" s="1" a="1"/>
  <c r="I132" i="3" s="1"/>
  <c r="K132" i="3"/>
  <c r="M132" i="3" s="1"/>
  <c r="G132" i="3"/>
  <c r="B133" i="3" l="1"/>
  <c r="D133" i="3" s="1"/>
  <c r="E133" i="3" s="1"/>
  <c r="F133" i="3" l="1"/>
  <c r="H133" i="3" s="1"/>
  <c r="K133" i="3" l="1"/>
  <c r="M133" i="3" s="1"/>
  <c r="G133" i="3"/>
  <c r="I133" i="3" a="1"/>
  <c r="I133" i="3" s="1"/>
  <c r="B134" i="3"/>
  <c r="D134" i="3" s="1"/>
  <c r="E134" i="3" s="1"/>
  <c r="F134" i="3" l="1"/>
  <c r="H134" i="3" s="1"/>
  <c r="G134" i="3" l="1"/>
  <c r="K134" i="3"/>
  <c r="M134" i="3" s="1"/>
  <c r="I134" i="3" a="1"/>
  <c r="I134" i="3" s="1"/>
  <c r="B135" i="3"/>
  <c r="D135" i="3" l="1"/>
  <c r="E135" i="3" s="1"/>
  <c r="F135" i="3" l="1"/>
  <c r="H135" i="3" s="1"/>
  <c r="K135" i="3"/>
  <c r="M135" i="3" s="1"/>
  <c r="G135" i="3"/>
  <c r="I135" i="3" l="1" a="1"/>
  <c r="I135" i="3" s="1"/>
  <c r="B136" i="3"/>
  <c r="D136" i="3"/>
  <c r="E136" i="3" s="1"/>
  <c r="F136" i="3" l="1"/>
  <c r="H136" i="3" l="1"/>
  <c r="I136" i="3" s="1" a="1"/>
  <c r="I136" i="3" s="1"/>
  <c r="K136" i="3"/>
  <c r="M136" i="3" s="1"/>
  <c r="G136" i="3"/>
  <c r="B137" i="3" l="1"/>
  <c r="D137" i="3" s="1"/>
  <c r="E137" i="3" s="1"/>
  <c r="F137" i="3" l="1"/>
  <c r="H137" i="3" s="1"/>
  <c r="I137" i="3" s="1" a="1"/>
  <c r="I137" i="3" s="1"/>
  <c r="K137" i="3" l="1"/>
  <c r="M137" i="3" s="1"/>
  <c r="G137" i="3"/>
  <c r="B138" i="3"/>
  <c r="D138" i="3" l="1"/>
  <c r="E138" i="3" s="1"/>
  <c r="F138" i="3" l="1"/>
  <c r="H138" i="3" l="1"/>
  <c r="I138" i="3" s="1" a="1"/>
  <c r="I138" i="3" s="1"/>
  <c r="G138" i="3"/>
  <c r="K138" i="3"/>
  <c r="M138" i="3" s="1"/>
  <c r="B139" i="3" l="1"/>
  <c r="D139" i="3" l="1"/>
  <c r="E139" i="3" s="1"/>
  <c r="F139" i="3" l="1"/>
  <c r="H139" i="3" l="1"/>
  <c r="I139" i="3" s="1" a="1"/>
  <c r="I139" i="3" s="1"/>
  <c r="K139" i="3"/>
  <c r="M139" i="3" s="1"/>
  <c r="G139" i="3"/>
  <c r="B140" i="3" l="1"/>
  <c r="D140" i="3" s="1"/>
  <c r="E140" i="3" s="1"/>
  <c r="F140" i="3" l="1"/>
  <c r="H140" i="3" s="1"/>
  <c r="I140" i="3" s="1" a="1"/>
  <c r="I140" i="3" s="1"/>
  <c r="K140" i="3" l="1"/>
  <c r="M140" i="3" s="1"/>
  <c r="G140" i="3"/>
  <c r="B141" i="3"/>
  <c r="D141" i="3" s="1"/>
  <c r="E141" i="3" s="1"/>
  <c r="F141" i="3" l="1"/>
  <c r="H141" i="3" l="1"/>
  <c r="I141" i="3" s="1" a="1"/>
  <c r="I141" i="3" s="1"/>
  <c r="G141" i="3"/>
  <c r="K141" i="3"/>
  <c r="M141" i="3" s="1"/>
  <c r="B142" i="3" l="1"/>
  <c r="D142" i="3" l="1"/>
  <c r="E142" i="3" s="1"/>
  <c r="F142" i="3" l="1"/>
  <c r="H142" i="3" l="1"/>
  <c r="I142" i="3" s="1" a="1"/>
  <c r="I142" i="3" s="1"/>
  <c r="G142" i="3"/>
  <c r="K142" i="3"/>
  <c r="M142" i="3" s="1"/>
  <c r="B143" i="3"/>
  <c r="D143" i="3" l="1"/>
  <c r="E143" i="3" s="1"/>
  <c r="F143" i="3"/>
  <c r="H143" i="3" l="1"/>
  <c r="I143" i="3" s="1" a="1"/>
  <c r="I143" i="3" s="1"/>
  <c r="G143" i="3"/>
  <c r="K143" i="3"/>
  <c r="M143" i="3" s="1"/>
  <c r="B144" i="3" l="1"/>
  <c r="D144" i="3" l="1"/>
  <c r="E144" i="3" s="1"/>
  <c r="F144" i="3" l="1"/>
  <c r="H144" i="3" s="1"/>
  <c r="I144" i="3" s="1" a="1"/>
  <c r="I144" i="3" s="1"/>
  <c r="K144" i="3" l="1"/>
  <c r="M144" i="3" s="1"/>
  <c r="G144" i="3"/>
  <c r="B145" i="3"/>
  <c r="D145" i="3" l="1"/>
  <c r="E145" i="3" s="1"/>
  <c r="F145" i="3" l="1"/>
  <c r="H145" i="3"/>
  <c r="I145" i="3" s="1" a="1"/>
  <c r="I145" i="3" s="1"/>
  <c r="K145" i="3"/>
  <c r="M145" i="3" s="1"/>
  <c r="G145" i="3"/>
  <c r="B146" i="3" l="1"/>
  <c r="D146" i="3" l="1"/>
  <c r="E146" i="3" s="1"/>
  <c r="F146" i="3" l="1"/>
  <c r="H146" i="3" l="1"/>
  <c r="I146" i="3" s="1" a="1"/>
  <c r="I146" i="3" s="1"/>
  <c r="G146" i="3"/>
  <c r="K146" i="3"/>
  <c r="M146" i="3" s="1"/>
  <c r="B147" i="3" l="1"/>
  <c r="D147" i="3"/>
  <c r="E147" i="3" s="1"/>
  <c r="F147" i="3" l="1"/>
  <c r="K147" i="3" l="1"/>
  <c r="M147" i="3" s="1"/>
  <c r="G147" i="3"/>
  <c r="H147" i="3"/>
  <c r="I147" i="3" s="1" a="1"/>
  <c r="I147" i="3" s="1"/>
  <c r="B148" i="3" l="1"/>
  <c r="D148" i="3"/>
  <c r="E148" i="3" s="1"/>
  <c r="F148" i="3" l="1"/>
  <c r="G148" i="3" l="1"/>
  <c r="H148" i="3"/>
  <c r="I148" i="3" s="1" a="1"/>
  <c r="I148" i="3" s="1"/>
  <c r="K148" i="3"/>
  <c r="M148" i="3" s="1"/>
  <c r="B149" i="3" l="1"/>
  <c r="D149" i="3" s="1"/>
  <c r="E149" i="3" s="1"/>
  <c r="F149" i="3" l="1"/>
  <c r="H149" i="3" l="1"/>
  <c r="I149" i="3" s="1" a="1"/>
  <c r="I149" i="3" s="1"/>
  <c r="K149" i="3"/>
  <c r="M149" i="3" s="1"/>
  <c r="G149" i="3"/>
  <c r="B150" i="3"/>
  <c r="D150" i="3" l="1"/>
  <c r="E150" i="3" s="1"/>
  <c r="F150" i="3" l="1"/>
  <c r="K150" i="3" l="1"/>
  <c r="M150" i="3" s="1"/>
  <c r="G150" i="3"/>
  <c r="H150" i="3"/>
  <c r="I150" i="3" s="1" a="1"/>
  <c r="I150" i="3" s="1"/>
  <c r="B151" i="3" l="1"/>
  <c r="D151" i="3" s="1"/>
  <c r="E151" i="3" l="1"/>
  <c r="F151" i="3"/>
  <c r="G151" i="3"/>
  <c r="H151" i="3"/>
  <c r="I151" i="3" s="1" a="1"/>
  <c r="I151" i="3" s="1"/>
  <c r="K151" i="3"/>
  <c r="M151" i="3" s="1"/>
  <c r="B152" i="3"/>
  <c r="D152" i="3" l="1"/>
  <c r="E152" i="3" s="1"/>
  <c r="F152" i="3" l="1"/>
  <c r="K152" i="3" s="1"/>
  <c r="M152" i="3" s="1"/>
  <c r="G152" i="3"/>
  <c r="H152" i="3" l="1"/>
  <c r="I152" i="3" s="1" a="1"/>
  <c r="I152" i="3" s="1"/>
  <c r="B153" i="3"/>
  <c r="D153" i="3" s="1"/>
  <c r="E153" i="3" s="1"/>
  <c r="F153" i="3" l="1"/>
  <c r="H153" i="3" l="1"/>
  <c r="I153" i="3" s="1" a="1"/>
  <c r="I153" i="3" s="1"/>
  <c r="K153" i="3"/>
  <c r="M153" i="3" s="1"/>
  <c r="G153" i="3"/>
  <c r="B154" i="3" l="1"/>
  <c r="D154" i="3" l="1"/>
  <c r="E154" i="3" s="1"/>
  <c r="F154" i="3"/>
  <c r="H154" i="3" l="1"/>
  <c r="I154" i="3" s="1" a="1"/>
  <c r="I154" i="3" s="1"/>
  <c r="K154" i="3"/>
  <c r="M154" i="3" s="1"/>
  <c r="G154" i="3"/>
  <c r="B155" i="3" l="1"/>
  <c r="D155" i="3" s="1"/>
  <c r="E155" i="3" s="1"/>
  <c r="F155" i="3" l="1"/>
  <c r="G155" i="3"/>
  <c r="H155" i="3"/>
  <c r="I155" i="3" s="1" a="1"/>
  <c r="I155" i="3" s="1"/>
  <c r="K155" i="3"/>
  <c r="M155" i="3" s="1"/>
  <c r="B156" i="3"/>
  <c r="D156" i="3" l="1"/>
  <c r="E156" i="3" s="1"/>
  <c r="F156" i="3" l="1"/>
  <c r="H156" i="3" s="1"/>
  <c r="K156" i="3" l="1"/>
  <c r="M156" i="3" s="1"/>
  <c r="I156" i="3" a="1"/>
  <c r="I156" i="3" s="1"/>
  <c r="B157" i="3"/>
  <c r="G156" i="3"/>
  <c r="D157" i="3"/>
  <c r="E157" i="3" s="1"/>
  <c r="F157" i="3"/>
  <c r="K157" i="3" l="1"/>
  <c r="M157" i="3" s="1"/>
  <c r="H157" i="3"/>
  <c r="I157" i="3" s="1" a="1"/>
  <c r="I157" i="3" s="1"/>
  <c r="G157" i="3"/>
  <c r="B158" i="3"/>
  <c r="D158" i="3" l="1"/>
  <c r="E158" i="3" s="1"/>
  <c r="F158" i="3" l="1"/>
  <c r="G158" i="3" l="1"/>
  <c r="H158" i="3"/>
  <c r="I158" i="3" s="1" a="1"/>
  <c r="I158" i="3" s="1"/>
  <c r="K158" i="3"/>
  <c r="M158" i="3" s="1"/>
  <c r="B159" i="3" l="1"/>
  <c r="D159" i="3"/>
  <c r="E159" i="3" s="1"/>
  <c r="F159" i="3" l="1"/>
  <c r="K159" i="3" l="1"/>
  <c r="M159" i="3" s="1"/>
  <c r="G159" i="3"/>
  <c r="H159" i="3"/>
  <c r="I159" i="3" s="1" a="1"/>
  <c r="I159" i="3" s="1"/>
  <c r="B160" i="3" l="1"/>
  <c r="D160" i="3" l="1"/>
  <c r="E160" i="3" s="1"/>
  <c r="F160" i="3" l="1"/>
  <c r="K160" i="3" s="1"/>
  <c r="M160" i="3" s="1"/>
  <c r="H160" i="3"/>
  <c r="I160" i="3" s="1" a="1"/>
  <c r="I160" i="3" s="1"/>
  <c r="G160" i="3"/>
  <c r="B161" i="3"/>
  <c r="D161" i="3" l="1"/>
  <c r="E161" i="3" s="1"/>
  <c r="F161" i="3" l="1"/>
  <c r="H161" i="3" s="1"/>
  <c r="I161" i="3" s="1" a="1"/>
  <c r="I161" i="3" s="1"/>
  <c r="K161" i="3" l="1"/>
  <c r="M161" i="3" s="1"/>
  <c r="G161" i="3"/>
  <c r="B162" i="3"/>
  <c r="D162" i="3" s="1"/>
  <c r="E162" i="3" l="1"/>
  <c r="F162" i="3"/>
  <c r="H162" i="3"/>
  <c r="I162" i="3" s="1" a="1"/>
  <c r="I162" i="3" s="1"/>
  <c r="G162" i="3"/>
  <c r="K162" i="3"/>
  <c r="M162" i="3" s="1"/>
  <c r="B163" i="3"/>
  <c r="D163" i="3" l="1"/>
  <c r="E163" i="3" s="1"/>
  <c r="F163" i="3" l="1"/>
  <c r="H163" i="3" l="1"/>
  <c r="I163" i="3" s="1" a="1"/>
  <c r="I163" i="3" s="1"/>
  <c r="G163" i="3"/>
  <c r="K163" i="3"/>
  <c r="M163" i="3" s="1"/>
  <c r="B164" i="3" l="1"/>
  <c r="D164" i="3" l="1"/>
  <c r="E164" i="3" s="1"/>
  <c r="F164" i="3" l="1"/>
  <c r="G164" i="3" l="1"/>
  <c r="H164" i="3"/>
  <c r="I164" i="3" s="1" a="1"/>
  <c r="I164" i="3" s="1"/>
  <c r="K164" i="3"/>
  <c r="M164" i="3" s="1"/>
  <c r="B165" i="3" l="1"/>
  <c r="D165" i="3"/>
  <c r="E165" i="3" s="1"/>
  <c r="F165" i="3"/>
  <c r="H165" i="3" l="1"/>
  <c r="I165" i="3" s="1" a="1"/>
  <c r="I165" i="3" s="1"/>
  <c r="G165" i="3"/>
  <c r="K165" i="3"/>
  <c r="M165" i="3" s="1"/>
  <c r="B166" i="3"/>
  <c r="D166" i="3" l="1"/>
  <c r="E166" i="3" s="1"/>
  <c r="F166" i="3" l="1"/>
  <c r="H166" i="3" s="1"/>
  <c r="G166" i="3"/>
  <c r="K166" i="3"/>
  <c r="M166" i="3" s="1"/>
  <c r="I166" i="3" l="1" a="1"/>
  <c r="I166" i="3" s="1"/>
  <c r="B167" i="3"/>
  <c r="D167" i="3" s="1"/>
  <c r="E167" i="3" s="1"/>
  <c r="F167" i="3" l="1"/>
  <c r="H167" i="3" l="1"/>
  <c r="I167" i="3" s="1" a="1"/>
  <c r="I167" i="3" s="1"/>
  <c r="G167" i="3"/>
  <c r="K167" i="3"/>
  <c r="M167" i="3" s="1"/>
  <c r="B168" i="3" l="1"/>
  <c r="D168" i="3" l="1"/>
  <c r="E168" i="3" s="1"/>
  <c r="F168" i="3" l="1"/>
  <c r="K168" i="3" l="1"/>
  <c r="M168" i="3" s="1"/>
  <c r="H168" i="3"/>
  <c r="I168" i="3" s="1" a="1"/>
  <c r="I168" i="3" s="1"/>
  <c r="G168" i="3"/>
  <c r="B169" i="3"/>
  <c r="D169" i="3" l="1"/>
  <c r="E169" i="3" s="1"/>
  <c r="F169" i="3"/>
  <c r="G169" i="3" l="1"/>
  <c r="H169" i="3"/>
  <c r="I169" i="3" s="1" a="1"/>
  <c r="I169" i="3" s="1"/>
  <c r="K169" i="3"/>
  <c r="M169" i="3" s="1"/>
  <c r="B170" i="3"/>
  <c r="D170" i="3" l="1"/>
  <c r="E170" i="3" s="1"/>
  <c r="F170" i="3" l="1"/>
  <c r="K170" i="3" l="1"/>
  <c r="M170" i="3" s="1"/>
  <c r="H170" i="3"/>
  <c r="I170" i="3" s="1" a="1"/>
  <c r="I170" i="3" s="1"/>
  <c r="G170" i="3"/>
  <c r="B171" i="3"/>
  <c r="D171" i="3" l="1"/>
  <c r="E171" i="3" s="1"/>
  <c r="F171" i="3" l="1"/>
  <c r="G171" i="3" l="1"/>
  <c r="K171" i="3"/>
  <c r="M171" i="3" s="1"/>
  <c r="H171" i="3"/>
  <c r="I171" i="3" s="1" a="1"/>
  <c r="I171" i="3" s="1"/>
  <c r="B172" i="3" l="1"/>
  <c r="D172" i="3" s="1"/>
  <c r="E172" i="3" s="1"/>
  <c r="F172" i="3" l="1"/>
  <c r="G172" i="3" s="1"/>
  <c r="K172" i="3" l="1"/>
  <c r="M172" i="3" s="1"/>
  <c r="H172" i="3"/>
  <c r="I172" i="3" s="1" a="1"/>
  <c r="I172" i="3" s="1"/>
  <c r="B173" i="3" l="1"/>
  <c r="D173" i="3" s="1"/>
  <c r="E173" i="3" s="1"/>
  <c r="F173" i="3" l="1"/>
  <c r="G173" i="3" s="1"/>
  <c r="H173" i="3"/>
  <c r="I173" i="3" s="1" a="1"/>
  <c r="I173" i="3" s="1"/>
  <c r="K173" i="3" l="1"/>
  <c r="M173" i="3" s="1"/>
  <c r="B174" i="3"/>
  <c r="D174" i="3" s="1"/>
  <c r="E174" i="3" s="1"/>
  <c r="F174" i="3" l="1"/>
  <c r="H174" i="3" s="1"/>
  <c r="I174" i="3" s="1" a="1"/>
  <c r="I174" i="3" s="1"/>
  <c r="G174" i="3" l="1"/>
  <c r="K174" i="3"/>
  <c r="M174" i="3" s="1"/>
  <c r="B175" i="3"/>
  <c r="D175" i="3" l="1"/>
  <c r="E175" i="3" s="1"/>
  <c r="F175" i="3" l="1"/>
  <c r="H175" i="3" s="1"/>
  <c r="I175" i="3" s="1" a="1"/>
  <c r="I175" i="3" s="1"/>
  <c r="K175" i="3"/>
  <c r="M175" i="3" s="1"/>
  <c r="G175" i="3" l="1"/>
  <c r="B176" i="3"/>
  <c r="D176" i="3" s="1"/>
  <c r="E176" i="3" l="1"/>
  <c r="F176" i="3"/>
  <c r="G176" i="3"/>
  <c r="K176" i="3"/>
  <c r="M176" i="3" s="1"/>
  <c r="H176" i="3"/>
  <c r="I176" i="3" s="1" a="1"/>
  <c r="I176" i="3" s="1"/>
  <c r="B177" i="3" l="1"/>
  <c r="D177" i="3" l="1"/>
  <c r="E177" i="3" s="1"/>
  <c r="F177" i="3" l="1"/>
  <c r="G177" i="3"/>
  <c r="H177" i="3"/>
  <c r="I177" i="3" s="1" a="1"/>
  <c r="I177" i="3" s="1"/>
  <c r="K177" i="3"/>
  <c r="M177" i="3" s="1"/>
  <c r="B178" i="3"/>
  <c r="D178" i="3" l="1"/>
  <c r="E178" i="3" s="1"/>
  <c r="F178" i="3"/>
  <c r="G178" i="3" l="1"/>
  <c r="H178" i="3"/>
  <c r="I178" i="3" s="1" a="1"/>
  <c r="I178" i="3" s="1"/>
  <c r="K178" i="3"/>
  <c r="M178" i="3" s="1"/>
  <c r="B179" i="3" l="1"/>
  <c r="D179" i="3"/>
  <c r="E179" i="3" s="1"/>
  <c r="F179" i="3" l="1"/>
  <c r="H179" i="3"/>
  <c r="I179" i="3" s="1" a="1"/>
  <c r="I179" i="3" s="1"/>
  <c r="K179" i="3"/>
  <c r="M179" i="3" s="1"/>
  <c r="G179" i="3"/>
  <c r="B180" i="3"/>
  <c r="D180" i="3" l="1"/>
  <c r="E180" i="3" s="1"/>
  <c r="F180" i="3" l="1"/>
  <c r="H180" i="3" s="1"/>
  <c r="I180" i="3" s="1" a="1"/>
  <c r="I180" i="3" s="1"/>
  <c r="B181" i="3" l="1"/>
  <c r="D181" i="3" s="1"/>
  <c r="E181" i="3" s="1"/>
  <c r="K180" i="3"/>
  <c r="M180" i="3" s="1"/>
  <c r="G180" i="3"/>
  <c r="F181" i="3" l="1"/>
  <c r="H181" i="3" s="1"/>
  <c r="I181" i="3" s="1" a="1"/>
  <c r="I181" i="3" s="1"/>
  <c r="K181" i="3" l="1"/>
  <c r="M181" i="3" s="1"/>
  <c r="B182" i="3"/>
  <c r="G181" i="3"/>
  <c r="D182" i="3"/>
  <c r="E182" i="3" s="1"/>
  <c r="F182" i="3" l="1"/>
  <c r="H182" i="3"/>
  <c r="I182" i="3" s="1" a="1"/>
  <c r="I182" i="3" s="1"/>
  <c r="G182" i="3"/>
  <c r="K182" i="3"/>
  <c r="M182" i="3" s="1"/>
  <c r="B183" i="3" l="1"/>
  <c r="D183" i="3"/>
  <c r="E183" i="3" s="1"/>
  <c r="F183" i="3" l="1"/>
  <c r="H183" i="3"/>
  <c r="I183" i="3" s="1" a="1"/>
  <c r="I183" i="3" s="1"/>
  <c r="G183" i="3"/>
  <c r="K183" i="3"/>
  <c r="M183" i="3" s="1"/>
  <c r="B184" i="3"/>
  <c r="D184" i="3" l="1"/>
  <c r="E184" i="3" s="1"/>
  <c r="F184" i="3" l="1"/>
  <c r="H184" i="3" l="1"/>
  <c r="I184" i="3" s="1" a="1"/>
  <c r="I184" i="3" s="1"/>
  <c r="G184" i="3"/>
  <c r="K184" i="3"/>
  <c r="M184" i="3" s="1"/>
  <c r="B185" i="3" l="1"/>
  <c r="D185" i="3"/>
  <c r="E185" i="3" s="1"/>
  <c r="F185" i="3"/>
  <c r="H185" i="3" l="1"/>
  <c r="I185" i="3" s="1" a="1"/>
  <c r="I185" i="3" s="1"/>
  <c r="K185" i="3"/>
  <c r="M185" i="3" s="1"/>
  <c r="G185" i="3"/>
  <c r="B186" i="3"/>
  <c r="D186" i="3" l="1"/>
  <c r="E186" i="3" s="1"/>
  <c r="F186" i="3"/>
  <c r="H186" i="3" l="1"/>
  <c r="I186" i="3" s="1" a="1"/>
  <c r="I186" i="3" s="1"/>
  <c r="G186" i="3"/>
  <c r="K186" i="3"/>
  <c r="M186" i="3" s="1"/>
  <c r="B187" i="3" l="1"/>
  <c r="D187" i="3" s="1"/>
  <c r="E187" i="3" s="1"/>
  <c r="F187" i="3" l="1"/>
  <c r="H187" i="3" l="1"/>
  <c r="I187" i="3" s="1" a="1"/>
  <c r="I187" i="3" s="1"/>
  <c r="K187" i="3"/>
  <c r="M187" i="3" s="1"/>
  <c r="G187" i="3"/>
  <c r="B188" i="3"/>
  <c r="D188" i="3" l="1"/>
  <c r="E188" i="3" s="1"/>
  <c r="F188" i="3" l="1"/>
  <c r="H188" i="3" s="1"/>
  <c r="K188" i="3"/>
  <c r="M188" i="3" s="1"/>
  <c r="G188" i="3" l="1"/>
  <c r="I188" i="3" a="1"/>
  <c r="I188" i="3" s="1"/>
  <c r="B189" i="3"/>
  <c r="D189" i="3" s="1"/>
  <c r="E189" i="3" s="1"/>
  <c r="F189" i="3" l="1"/>
  <c r="H189" i="3" s="1"/>
  <c r="I189" i="3" s="1" a="1"/>
  <c r="I189" i="3" s="1"/>
  <c r="K189" i="3" l="1"/>
  <c r="M189" i="3" s="1"/>
  <c r="G189" i="3"/>
  <c r="B190" i="3"/>
  <c r="D190" i="3" l="1"/>
  <c r="E190" i="3" s="1"/>
  <c r="F190" i="3"/>
  <c r="H190" i="3" l="1"/>
  <c r="I190" i="3" s="1" a="1"/>
  <c r="I190" i="3" s="1"/>
  <c r="K190" i="3"/>
  <c r="M190" i="3" s="1"/>
  <c r="G190" i="3"/>
  <c r="B191" i="3" l="1"/>
  <c r="D191" i="3" l="1"/>
  <c r="E191" i="3" s="1"/>
  <c r="F191" i="3" l="1"/>
  <c r="H191" i="3" s="1"/>
  <c r="I191" i="3" l="1" a="1"/>
  <c r="I191" i="3" s="1"/>
  <c r="B192" i="3"/>
  <c r="K191" i="3"/>
  <c r="M191" i="3" s="1"/>
  <c r="G191" i="3"/>
  <c r="D192" i="3"/>
  <c r="E192" i="3" s="1"/>
  <c r="F192" i="3" l="1"/>
  <c r="H192" i="3"/>
  <c r="I192" i="3" s="1" a="1"/>
  <c r="I192" i="3" s="1"/>
  <c r="G192" i="3"/>
  <c r="K192" i="3"/>
  <c r="M192" i="3" s="1"/>
  <c r="B193" i="3" l="1"/>
  <c r="D193" i="3"/>
  <c r="E193" i="3" s="1"/>
  <c r="F193" i="3"/>
  <c r="H193" i="3" l="1"/>
  <c r="I193" i="3" s="1" a="1"/>
  <c r="I193" i="3" s="1"/>
  <c r="K193" i="3"/>
  <c r="M193" i="3" s="1"/>
  <c r="G193" i="3"/>
  <c r="B194" i="3" l="1"/>
  <c r="D194" i="3"/>
  <c r="E194" i="3" s="1"/>
  <c r="F194" i="3"/>
  <c r="H194" i="3" l="1"/>
  <c r="I194" i="3" s="1" a="1"/>
  <c r="I194" i="3" s="1"/>
  <c r="K194" i="3"/>
  <c r="M194" i="3" s="1"/>
  <c r="G194" i="3"/>
  <c r="B195" i="3" l="1"/>
  <c r="D195" i="3"/>
  <c r="E195" i="3" s="1"/>
  <c r="F195" i="3" l="1"/>
  <c r="H195" i="3" s="1"/>
  <c r="I195" i="3" s="1" a="1"/>
  <c r="I195" i="3" s="1"/>
  <c r="K195" i="3"/>
  <c r="M195" i="3" s="1"/>
  <c r="G195" i="3"/>
  <c r="B196" i="3" l="1"/>
  <c r="D196" i="3" l="1"/>
  <c r="E196" i="3" s="1"/>
  <c r="F196" i="3" l="1"/>
  <c r="H196" i="3" l="1"/>
  <c r="I196" i="3" s="1" a="1"/>
  <c r="I196" i="3" s="1"/>
  <c r="G196" i="3"/>
  <c r="K196" i="3"/>
  <c r="M196" i="3" s="1"/>
  <c r="B197" i="3" l="1"/>
  <c r="D197" i="3" l="1"/>
  <c r="E197" i="3" s="1"/>
  <c r="F197" i="3" l="1"/>
  <c r="H197" i="3" l="1"/>
  <c r="I197" i="3" s="1" a="1"/>
  <c r="I197" i="3" s="1"/>
  <c r="K197" i="3"/>
  <c r="M197" i="3" s="1"/>
  <c r="G197" i="3"/>
  <c r="B198" i="3" l="1"/>
  <c r="D198" i="3" l="1"/>
  <c r="E198" i="3" s="1"/>
  <c r="F198" i="3" l="1"/>
  <c r="H198" i="3" l="1"/>
  <c r="I198" i="3" s="1" a="1"/>
  <c r="I198" i="3" s="1"/>
  <c r="K198" i="3"/>
  <c r="M198" i="3" s="1"/>
  <c r="G198" i="3"/>
  <c r="B199" i="3" l="1"/>
  <c r="D199" i="3" l="1"/>
  <c r="E199" i="3" s="1"/>
  <c r="F199" i="3" l="1"/>
  <c r="G199" i="3" l="1"/>
  <c r="K199" i="3"/>
  <c r="M199" i="3" s="1"/>
  <c r="H199" i="3"/>
  <c r="I199" i="3" s="1" a="1"/>
  <c r="I199" i="3" s="1"/>
  <c r="B200" i="3" l="1"/>
  <c r="D200" i="3" l="1"/>
  <c r="E200" i="3" s="1"/>
  <c r="F200" i="3" l="1"/>
  <c r="K200" i="3" l="1"/>
  <c r="M200" i="3" s="1"/>
  <c r="H200" i="3"/>
  <c r="I200" i="3" s="1" a="1"/>
  <c r="I200" i="3" s="1"/>
  <c r="G200" i="3"/>
  <c r="B201" i="3" l="1"/>
  <c r="D201" i="3" s="1"/>
  <c r="E201" i="3" s="1"/>
  <c r="F201" i="3" l="1"/>
  <c r="H201" i="3" l="1"/>
  <c r="I201" i="3" s="1" a="1"/>
  <c r="I201" i="3" s="1"/>
  <c r="K201" i="3"/>
  <c r="M201" i="3" s="1"/>
  <c r="G201" i="3"/>
  <c r="B202" i="3" l="1"/>
  <c r="D202" i="3" l="1"/>
  <c r="E202" i="3" s="1"/>
  <c r="F202" i="3" l="1"/>
  <c r="H202" i="3" l="1"/>
  <c r="I202" i="3" s="1" a="1"/>
  <c r="I202" i="3" s="1"/>
  <c r="K202" i="3"/>
  <c r="M202" i="3" s="1"/>
  <c r="G202" i="3"/>
  <c r="B203" i="3" l="1"/>
  <c r="D203" i="3" l="1"/>
  <c r="E203" i="3" s="1"/>
  <c r="F203" i="3" l="1"/>
  <c r="H203" i="3" l="1"/>
  <c r="I203" i="3" s="1" a="1"/>
  <c r="I203" i="3" s="1"/>
  <c r="K203" i="3"/>
  <c r="M203" i="3" s="1"/>
  <c r="G203" i="3"/>
  <c r="B204" i="3" l="1"/>
  <c r="D204" i="3" l="1"/>
  <c r="E204" i="3" s="1"/>
  <c r="F204" i="3" l="1"/>
  <c r="H204" i="3" l="1"/>
  <c r="I204" i="3" s="1" a="1"/>
  <c r="I204" i="3" s="1"/>
  <c r="K204" i="3"/>
  <c r="M204" i="3" s="1"/>
  <c r="G204" i="3"/>
  <c r="B205" i="3" l="1"/>
  <c r="D205" i="3" l="1"/>
  <c r="E205" i="3" s="1"/>
  <c r="F205" i="3" l="1"/>
  <c r="H205" i="3" l="1"/>
  <c r="I205" i="3" s="1" a="1"/>
  <c r="I205" i="3" s="1"/>
  <c r="K205" i="3"/>
  <c r="M205" i="3" s="1"/>
  <c r="G205" i="3"/>
  <c r="B206" i="3" l="1"/>
  <c r="D206" i="3" l="1"/>
  <c r="E206" i="3" s="1"/>
  <c r="F206" i="3" l="1"/>
  <c r="H206" i="3" s="1"/>
  <c r="I206" i="3" s="1" a="1"/>
  <c r="I206" i="3" s="1"/>
  <c r="G206" i="3" l="1"/>
  <c r="K206" i="3"/>
  <c r="M206" i="3" s="1"/>
  <c r="B207" i="3"/>
  <c r="D207" i="3" l="1"/>
  <c r="E207" i="3" s="1"/>
  <c r="F207" i="3" l="1"/>
  <c r="H207" i="3" l="1"/>
  <c r="I207" i="3" s="1" a="1"/>
  <c r="I207" i="3" s="1"/>
  <c r="K207" i="3"/>
  <c r="M207" i="3" s="1"/>
  <c r="G207" i="3"/>
  <c r="B208" i="3" l="1"/>
  <c r="D208" i="3" l="1"/>
  <c r="E208" i="3" s="1"/>
  <c r="F208" i="3" l="1"/>
  <c r="H208" i="3" s="1"/>
  <c r="I208" i="3" s="1" a="1"/>
  <c r="I208" i="3" s="1"/>
  <c r="K208" i="3" l="1"/>
  <c r="M208" i="3" s="1"/>
  <c r="G208" i="3"/>
  <c r="B209" i="3"/>
  <c r="D209" i="3" l="1"/>
  <c r="E209" i="3" s="1"/>
  <c r="F209" i="3" l="1"/>
  <c r="H209" i="3" l="1"/>
  <c r="I209" i="3" s="1" a="1"/>
  <c r="I209" i="3" s="1"/>
  <c r="K209" i="3"/>
  <c r="M209" i="3" s="1"/>
  <c r="G209" i="3"/>
  <c r="B210" i="3" l="1"/>
  <c r="D210" i="3" s="1"/>
  <c r="E210" i="3" s="1"/>
  <c r="F210" i="3" l="1"/>
  <c r="H210" i="3" s="1"/>
  <c r="G210" i="3" l="1"/>
  <c r="K210" i="3"/>
  <c r="M210" i="3" s="1"/>
  <c r="I210" i="3" a="1"/>
  <c r="I210" i="3" s="1"/>
  <c r="B211" i="3"/>
  <c r="D211" i="3" s="1"/>
  <c r="E211" i="3" s="1"/>
  <c r="F211" i="3" l="1"/>
  <c r="G211" i="3" s="1"/>
  <c r="H211" i="3" l="1"/>
  <c r="I211" i="3" s="1" a="1"/>
  <c r="I211" i="3" s="1"/>
  <c r="B212" i="3"/>
  <c r="K211" i="3"/>
  <c r="M211" i="3" s="1"/>
  <c r="D212" i="3"/>
  <c r="E212" i="3" s="1"/>
  <c r="F212" i="3" l="1"/>
  <c r="H212" i="3" s="1"/>
  <c r="K212" i="3"/>
  <c r="M212" i="3" s="1"/>
  <c r="G212" i="3" l="1"/>
  <c r="I212" i="3" a="1"/>
  <c r="I212" i="3" s="1"/>
  <c r="B213" i="3"/>
  <c r="D213" i="3" s="1"/>
  <c r="E213" i="3" s="1"/>
  <c r="F213" i="3" l="1"/>
  <c r="H213" i="3" s="1"/>
  <c r="K213" i="3" l="1"/>
  <c r="M213" i="3" s="1"/>
  <c r="I213" i="3" a="1"/>
  <c r="I213" i="3" s="1"/>
  <c r="B214" i="3"/>
  <c r="G213" i="3"/>
  <c r="D214" i="3"/>
  <c r="E214" i="3" s="1"/>
  <c r="F214" i="3" l="1"/>
  <c r="H214" i="3" s="1"/>
  <c r="I214" i="3" s="1" a="1"/>
  <c r="I214" i="3" s="1"/>
  <c r="K214" i="3"/>
  <c r="M214" i="3" s="1"/>
  <c r="G214" i="3" l="1"/>
  <c r="B215" i="3"/>
  <c r="D215" i="3" s="1"/>
  <c r="E215" i="3" s="1"/>
  <c r="F215" i="3" l="1"/>
  <c r="H215" i="3" s="1"/>
  <c r="K215" i="3" l="1"/>
  <c r="M215" i="3" s="1"/>
  <c r="I215" i="3" a="1"/>
  <c r="I215" i="3" s="1"/>
  <c r="B216" i="3"/>
  <c r="G215" i="3"/>
  <c r="D216" i="3"/>
  <c r="E216" i="3" s="1"/>
  <c r="F216" i="3" l="1"/>
  <c r="H216" i="3" s="1"/>
  <c r="I216" i="3" s="1" a="1"/>
  <c r="I216" i="3" s="1"/>
  <c r="B217" i="3" l="1"/>
  <c r="D217" i="3" s="1"/>
  <c r="E217" i="3" s="1"/>
  <c r="G216" i="3"/>
  <c r="K216" i="3"/>
  <c r="M216" i="3" s="1"/>
  <c r="F217" i="3" l="1"/>
  <c r="H217" i="3" s="1"/>
  <c r="I217" i="3" s="1" a="1"/>
  <c r="I217" i="3" s="1"/>
  <c r="B218" i="3" l="1"/>
  <c r="D218" i="3" s="1"/>
  <c r="E218" i="3" s="1"/>
  <c r="K217" i="3"/>
  <c r="M217" i="3" s="1"/>
  <c r="G217" i="3"/>
  <c r="F218" i="3" l="1"/>
  <c r="K218" i="3" s="1"/>
  <c r="M218" i="3" s="1"/>
  <c r="G218" i="3" l="1"/>
  <c r="H218" i="3"/>
  <c r="I218" i="3" s="1" a="1"/>
  <c r="I218" i="3" s="1"/>
  <c r="B219" i="3"/>
  <c r="D219" i="3"/>
  <c r="E219" i="3" s="1"/>
  <c r="F219" i="3" l="1"/>
  <c r="H219" i="3" s="1"/>
  <c r="I219" i="3" s="1" a="1"/>
  <c r="I219" i="3" s="1"/>
  <c r="B220" i="3" l="1"/>
  <c r="K219" i="3"/>
  <c r="M219" i="3" s="1"/>
  <c r="G219" i="3"/>
  <c r="D220" i="3" l="1"/>
  <c r="E220" i="3" s="1"/>
  <c r="F220" i="3" l="1"/>
  <c r="H220" i="3" l="1"/>
  <c r="I220" i="3" s="1" a="1"/>
  <c r="I220" i="3" s="1"/>
  <c r="G220" i="3"/>
  <c r="B221" i="3"/>
  <c r="K220" i="3"/>
  <c r="M220" i="3" s="1"/>
  <c r="D221" i="3" l="1"/>
  <c r="E221" i="3" s="1"/>
  <c r="F221" i="3" l="1"/>
  <c r="H221" i="3" l="1"/>
  <c r="I221" i="3" s="1" a="1"/>
  <c r="I221" i="3" s="1"/>
  <c r="K221" i="3"/>
  <c r="M221" i="3" s="1"/>
  <c r="G221" i="3"/>
  <c r="B222" i="3" l="1"/>
  <c r="D222" i="3" s="1"/>
  <c r="E222" i="3" s="1"/>
  <c r="F222" i="3" l="1"/>
  <c r="G222" i="3" s="1"/>
  <c r="K222" i="3" l="1"/>
  <c r="M222" i="3" s="1"/>
  <c r="H222" i="3"/>
  <c r="I222" i="3" s="1" a="1"/>
  <c r="I222" i="3" s="1"/>
  <c r="B223" i="3" l="1"/>
  <c r="D223" i="3" s="1"/>
  <c r="E223" i="3" s="1"/>
  <c r="F223" i="3" l="1"/>
  <c r="H223" i="3" l="1"/>
  <c r="K223" i="3"/>
  <c r="M223" i="3" s="1"/>
  <c r="G223" i="3"/>
  <c r="I223" i="3" l="1" a="1"/>
  <c r="I223" i="3" s="1"/>
  <c r="B224" i="3"/>
  <c r="D224" i="3" l="1"/>
  <c r="E224" i="3" s="1"/>
  <c r="F224" i="3" l="1"/>
  <c r="H224" i="3" s="1"/>
  <c r="K224" i="3"/>
  <c r="M224" i="3" s="1"/>
  <c r="G224" i="3"/>
  <c r="I224" i="3" l="1" a="1"/>
  <c r="I224" i="3" s="1"/>
  <c r="B225" i="3"/>
  <c r="D225" i="3"/>
  <c r="E225" i="3" s="1"/>
  <c r="F225" i="3" l="1"/>
  <c r="H225" i="3" s="1"/>
  <c r="K225" i="3" l="1"/>
  <c r="M225" i="3" s="1"/>
  <c r="G225" i="3"/>
  <c r="I225" i="3" a="1"/>
  <c r="I225" i="3" s="1"/>
  <c r="B226" i="3"/>
  <c r="D226" i="3" l="1"/>
  <c r="E226" i="3" s="1"/>
  <c r="F226" i="3"/>
  <c r="H226" i="3" l="1"/>
  <c r="I226" i="3" s="1" a="1"/>
  <c r="I226" i="3" s="1"/>
  <c r="K226" i="3"/>
  <c r="M226" i="3" s="1"/>
  <c r="G226" i="3"/>
  <c r="B227" i="3"/>
  <c r="D227" i="3" l="1"/>
  <c r="E227" i="3" s="1"/>
  <c r="F227" i="3"/>
  <c r="H227" i="3" l="1"/>
  <c r="I227" i="3" s="1" a="1"/>
  <c r="I227" i="3" s="1"/>
  <c r="G227" i="3"/>
  <c r="K227" i="3"/>
  <c r="M227" i="3" s="1"/>
  <c r="B228" i="3" l="1"/>
  <c r="D228" i="3" l="1"/>
  <c r="E228" i="3" s="1"/>
  <c r="F228" i="3" l="1"/>
  <c r="H228" i="3" l="1"/>
  <c r="I228" i="3" s="1" a="1"/>
  <c r="I228" i="3" s="1"/>
  <c r="G228" i="3"/>
  <c r="K228" i="3"/>
  <c r="M228" i="3" s="1"/>
  <c r="B229" i="3"/>
  <c r="D229" i="3" s="1"/>
  <c r="E229" i="3" s="1"/>
  <c r="F229" i="3" l="1"/>
  <c r="H229" i="3"/>
  <c r="I229" i="3" s="1" a="1"/>
  <c r="I229" i="3" s="1"/>
  <c r="K229" i="3"/>
  <c r="M229" i="3" s="1"/>
  <c r="G229" i="3"/>
  <c r="B230" i="3" l="1"/>
  <c r="D230" i="3" l="1"/>
  <c r="E230" i="3" s="1"/>
  <c r="F230" i="3" l="1"/>
  <c r="H230" i="3" s="1"/>
  <c r="I230" i="3" s="1" a="1"/>
  <c r="I230" i="3" s="1"/>
  <c r="B231" i="3" l="1"/>
  <c r="D231" i="3" s="1"/>
  <c r="E231" i="3" s="1"/>
  <c r="G230" i="3"/>
  <c r="K230" i="3"/>
  <c r="M230" i="3" s="1"/>
  <c r="F231" i="3" l="1"/>
  <c r="K231" i="3" s="1"/>
  <c r="M231" i="3" s="1"/>
  <c r="G231" i="3" l="1"/>
  <c r="H231" i="3"/>
  <c r="I231" i="3" s="1" a="1"/>
  <c r="I231" i="3" s="1"/>
  <c r="B232" i="3" l="1"/>
  <c r="D232" i="3" s="1"/>
  <c r="E232" i="3" s="1"/>
  <c r="F232" i="3" l="1"/>
  <c r="H232" i="3" s="1"/>
  <c r="I232" i="3" s="1" a="1"/>
  <c r="I232" i="3" s="1"/>
  <c r="K232" i="3" l="1"/>
  <c r="M232" i="3" s="1"/>
  <c r="G232" i="3"/>
  <c r="B233" i="3"/>
  <c r="D233" i="3" l="1"/>
  <c r="E233" i="3" s="1"/>
  <c r="F233" i="3" l="1"/>
  <c r="H233" i="3" l="1"/>
  <c r="I233" i="3" s="1" a="1"/>
  <c r="I233" i="3" s="1"/>
  <c r="G233" i="3"/>
  <c r="K233" i="3"/>
  <c r="M233" i="3" s="1"/>
  <c r="B234" i="3" l="1"/>
  <c r="D234" i="3" s="1"/>
  <c r="E234" i="3" s="1"/>
  <c r="F234" i="3" l="1"/>
  <c r="G234" i="3" s="1"/>
  <c r="H234" i="3"/>
  <c r="I234" i="3" s="1" a="1"/>
  <c r="I234" i="3" s="1"/>
  <c r="K234" i="3" l="1"/>
  <c r="M234" i="3" s="1"/>
  <c r="B235" i="3"/>
  <c r="D235" i="3" s="1"/>
  <c r="E235" i="3" s="1"/>
  <c r="F235" i="3" l="1"/>
  <c r="H235" i="3" l="1"/>
  <c r="I235" i="3" s="1" a="1"/>
  <c r="I235" i="3" s="1"/>
  <c r="G235" i="3"/>
  <c r="K235" i="3"/>
  <c r="M235" i="3" s="1"/>
  <c r="B236" i="3" l="1"/>
  <c r="D236" i="3" s="1"/>
  <c r="E236" i="3" s="1"/>
  <c r="F236" i="3" l="1"/>
  <c r="H236" i="3" l="1"/>
  <c r="I236" i="3" s="1" a="1"/>
  <c r="I236" i="3" s="1"/>
  <c r="G236" i="3"/>
  <c r="K236" i="3"/>
  <c r="M236" i="3" s="1"/>
  <c r="B237" i="3" l="1"/>
  <c r="D237" i="3" s="1"/>
  <c r="E237" i="3" s="1"/>
  <c r="F237" i="3" l="1"/>
  <c r="G237" i="3" s="1"/>
  <c r="H237" i="3" l="1"/>
  <c r="I237" i="3" s="1" a="1"/>
  <c r="I237" i="3" s="1"/>
  <c r="K237" i="3"/>
  <c r="M237" i="3" s="1"/>
  <c r="B238" i="3" l="1"/>
  <c r="D238" i="3" s="1"/>
  <c r="E238" i="3" s="1"/>
  <c r="F238" i="3" l="1"/>
  <c r="G238" i="3" l="1"/>
  <c r="H238" i="3"/>
  <c r="I238" i="3" s="1" a="1"/>
  <c r="I238" i="3" s="1"/>
  <c r="K238" i="3"/>
  <c r="M238" i="3" s="1"/>
  <c r="B239" i="3" l="1"/>
  <c r="D239" i="3" s="1"/>
  <c r="E239" i="3" s="1"/>
  <c r="F239" i="3" l="1"/>
  <c r="H239" i="3" l="1"/>
  <c r="I239" i="3" s="1" a="1"/>
  <c r="I239" i="3" s="1"/>
  <c r="G239" i="3"/>
  <c r="K239" i="3"/>
  <c r="M239" i="3" s="1"/>
  <c r="B240" i="3" l="1"/>
  <c r="D240" i="3" s="1"/>
  <c r="E240" i="3" s="1"/>
  <c r="F240" i="3" l="1"/>
  <c r="K240" i="3" l="1"/>
  <c r="M240" i="3" s="1"/>
  <c r="H240" i="3"/>
  <c r="I240" i="3" s="1" a="1"/>
  <c r="I240" i="3" s="1"/>
  <c r="G240" i="3"/>
  <c r="B241" i="3" l="1"/>
  <c r="D241" i="3" l="1"/>
  <c r="E241" i="3" s="1"/>
  <c r="F241" i="3" l="1"/>
  <c r="G241" i="3" l="1"/>
  <c r="H241" i="3"/>
  <c r="I241" i="3" s="1" a="1"/>
  <c r="I241" i="3" s="1"/>
  <c r="K241" i="3"/>
  <c r="M241" i="3" s="1"/>
  <c r="B242" i="3" l="1"/>
  <c r="D242" i="3" s="1"/>
  <c r="E242" i="3" s="1"/>
  <c r="F242" i="3" l="1"/>
  <c r="K242" i="3" l="1"/>
  <c r="M242" i="3" s="1"/>
  <c r="H242" i="3"/>
  <c r="I242" i="3" s="1" a="1"/>
  <c r="I242" i="3" s="1"/>
  <c r="G242" i="3"/>
  <c r="B243" i="3"/>
  <c r="D243" i="3" l="1"/>
  <c r="E243" i="3" s="1"/>
  <c r="F243" i="3" l="1"/>
  <c r="H243" i="3" s="1"/>
  <c r="K243" i="3" l="1"/>
  <c r="M243" i="3" s="1"/>
  <c r="G243" i="3"/>
  <c r="I243" i="3" a="1"/>
  <c r="I243" i="3" s="1"/>
  <c r="B244" i="3"/>
  <c r="D244" i="3" s="1"/>
  <c r="E244" i="3" l="1"/>
  <c r="F244" i="3"/>
  <c r="G244" i="3" s="1"/>
  <c r="K244" i="3" l="1"/>
  <c r="M244" i="3" s="1"/>
  <c r="H244" i="3"/>
  <c r="I244" i="3" s="1" a="1"/>
  <c r="I244" i="3" s="1"/>
  <c r="B245" i="3" l="1"/>
  <c r="D245" i="3" s="1"/>
  <c r="E245" i="3" s="1"/>
  <c r="F245" i="3" l="1"/>
  <c r="K245" i="3" s="1"/>
  <c r="M245" i="3" s="1"/>
  <c r="H245" i="3" l="1"/>
  <c r="I245" i="3" s="1" a="1"/>
  <c r="I245" i="3" s="1"/>
  <c r="G245" i="3"/>
  <c r="B246" i="3" l="1"/>
  <c r="D246" i="3" s="1"/>
  <c r="E246" i="3" s="1"/>
  <c r="F246" i="3" l="1"/>
  <c r="K246" i="3" s="1"/>
  <c r="M246" i="3" s="1"/>
  <c r="H246" i="3"/>
  <c r="I246" i="3" s="1" a="1"/>
  <c r="I246" i="3" s="1"/>
  <c r="B247" i="3" l="1"/>
  <c r="D247" i="3" s="1"/>
  <c r="E247" i="3" s="1"/>
  <c r="G246" i="3"/>
  <c r="F247" i="3" l="1"/>
  <c r="G247" i="3" s="1"/>
  <c r="H247" i="3" l="1"/>
  <c r="I247" i="3" s="1" a="1"/>
  <c r="I247" i="3" s="1"/>
  <c r="K247" i="3"/>
  <c r="M247" i="3" s="1"/>
  <c r="B248" i="3" l="1"/>
  <c r="D248" i="3" s="1"/>
  <c r="E248" i="3" s="1"/>
  <c r="F248" i="3" l="1"/>
  <c r="K248" i="3" s="1"/>
  <c r="M248" i="3" s="1"/>
  <c r="G248" i="3" l="1"/>
  <c r="H248" i="3"/>
  <c r="I248" i="3" s="1" a="1"/>
  <c r="I248" i="3" s="1"/>
  <c r="B249" i="3"/>
  <c r="D249" i="3" s="1"/>
  <c r="E249" i="3" s="1"/>
  <c r="F249" i="3" l="1"/>
  <c r="H249" i="3" s="1"/>
  <c r="I249" i="3" s="1" a="1"/>
  <c r="I249" i="3" s="1"/>
  <c r="G249" i="3" l="1"/>
  <c r="K249" i="3"/>
  <c r="M249" i="3" s="1"/>
  <c r="B250" i="3"/>
  <c r="D250" i="3" l="1"/>
  <c r="E250" i="3" s="1"/>
  <c r="F250" i="3" l="1"/>
  <c r="H250" i="3" l="1"/>
  <c r="I250" i="3" s="1" a="1"/>
  <c r="I250" i="3" s="1"/>
  <c r="K250" i="3"/>
  <c r="M250" i="3" s="1"/>
  <c r="G250" i="3"/>
  <c r="B251" i="3" l="1"/>
  <c r="D251" i="3"/>
  <c r="E251" i="3" s="1"/>
  <c r="F251" i="3" l="1"/>
  <c r="K251" i="3" l="1"/>
  <c r="M251" i="3" s="1"/>
  <c r="H251" i="3"/>
  <c r="I251" i="3" s="1" a="1"/>
  <c r="I251" i="3" s="1"/>
  <c r="G251" i="3"/>
  <c r="B252" i="3" l="1"/>
  <c r="D252" i="3" s="1"/>
  <c r="E252" i="3" s="1"/>
  <c r="F252" i="3" l="1"/>
  <c r="K252" i="3" l="1"/>
  <c r="M252" i="3" s="1"/>
  <c r="G252" i="3"/>
  <c r="H252" i="3"/>
  <c r="I252" i="3" s="1" a="1"/>
  <c r="I252" i="3" s="1"/>
  <c r="B253" i="3" l="1"/>
  <c r="D253" i="3" s="1"/>
  <c r="E253" i="3" s="1"/>
  <c r="F253" i="3" l="1"/>
  <c r="H253" i="3" l="1"/>
  <c r="I253" i="3" s="1" a="1"/>
  <c r="I253" i="3" s="1"/>
  <c r="G253" i="3"/>
  <c r="K253" i="3"/>
  <c r="M253" i="3" s="1"/>
  <c r="B254" i="3" l="1"/>
  <c r="D254" i="3" l="1"/>
  <c r="E254" i="3" s="1"/>
  <c r="F254" i="3" l="1"/>
  <c r="H254" i="3" l="1"/>
  <c r="I254" i="3" s="1" a="1"/>
  <c r="I254" i="3" s="1"/>
  <c r="K254" i="3"/>
  <c r="M254" i="3" s="1"/>
  <c r="G254" i="3"/>
  <c r="B255" i="3" l="1"/>
  <c r="D255" i="3" l="1"/>
  <c r="E255" i="3" s="1"/>
  <c r="F255" i="3" l="1"/>
  <c r="H255" i="3" s="1"/>
  <c r="I255" i="3" s="1" a="1"/>
  <c r="I255" i="3" s="1"/>
  <c r="G255" i="3" l="1"/>
  <c r="B256" i="3"/>
  <c r="D256" i="3" s="1"/>
  <c r="E256" i="3" s="1"/>
  <c r="K255" i="3"/>
  <c r="M255" i="3" s="1"/>
  <c r="F256" i="3" l="1"/>
  <c r="H256" i="3" l="1"/>
  <c r="I256" i="3" s="1" a="1"/>
  <c r="I256" i="3" s="1"/>
  <c r="K256" i="3"/>
  <c r="M256" i="3" s="1"/>
  <c r="G256" i="3"/>
  <c r="B257" i="3" l="1"/>
  <c r="D257" i="3" s="1"/>
  <c r="E257" i="3" s="1"/>
  <c r="F257" i="3" l="1"/>
  <c r="H257" i="3" l="1"/>
  <c r="I257" i="3" s="1" a="1"/>
  <c r="I257" i="3" s="1"/>
  <c r="G257" i="3"/>
  <c r="K257" i="3"/>
  <c r="M257" i="3" s="1"/>
  <c r="B258" i="3" l="1"/>
  <c r="D258" i="3" l="1"/>
  <c r="E258" i="3" s="1"/>
  <c r="F258" i="3" l="1"/>
  <c r="G258" i="3" l="1"/>
  <c r="K258" i="3"/>
  <c r="M258" i="3" s="1"/>
  <c r="H258" i="3"/>
  <c r="I258" i="3" s="1" a="1"/>
  <c r="I258" i="3" s="1"/>
  <c r="B259" i="3" l="1"/>
  <c r="D259" i="3" s="1"/>
  <c r="E259" i="3" s="1"/>
  <c r="F259" i="3" l="1"/>
  <c r="G259" i="3" l="1"/>
  <c r="H259" i="3"/>
  <c r="I259" i="3" s="1" a="1"/>
  <c r="I259" i="3" s="1"/>
  <c r="K259" i="3"/>
  <c r="M259" i="3" s="1"/>
  <c r="B260" i="3" l="1"/>
  <c r="D260" i="3" s="1"/>
  <c r="E260" i="3" s="1"/>
  <c r="F260" i="3" l="1"/>
  <c r="H260" i="3" l="1"/>
  <c r="I260" i="3" s="1" a="1"/>
  <c r="I260" i="3" s="1"/>
  <c r="G260" i="3"/>
  <c r="K260" i="3"/>
  <c r="M260" i="3" s="1"/>
  <c r="B261" i="3" l="1"/>
  <c r="D261" i="3" l="1"/>
  <c r="E261" i="3" s="1"/>
  <c r="F261" i="3" l="1"/>
  <c r="H261" i="3" l="1"/>
  <c r="I261" i="3" s="1" a="1"/>
  <c r="I261" i="3" s="1"/>
  <c r="G261" i="3"/>
  <c r="K261" i="3"/>
  <c r="M261" i="3" s="1"/>
  <c r="B262" i="3" l="1"/>
  <c r="D262" i="3" s="1"/>
  <c r="E262" i="3" s="1"/>
  <c r="F262" i="3" l="1"/>
  <c r="H262" i="3" l="1"/>
  <c r="I262" i="3" s="1" a="1"/>
  <c r="I262" i="3" s="1"/>
  <c r="K262" i="3"/>
  <c r="M262" i="3" s="1"/>
  <c r="G262" i="3"/>
  <c r="B263" i="3" l="1"/>
  <c r="D263" i="3" s="1"/>
  <c r="E263" i="3" s="1"/>
  <c r="F263" i="3" l="1"/>
  <c r="H263" i="3" s="1"/>
  <c r="K263" i="3" l="1"/>
  <c r="M263" i="3" s="1"/>
  <c r="G263" i="3"/>
  <c r="I263" i="3" a="1"/>
  <c r="I263" i="3" s="1"/>
  <c r="B264" i="3"/>
  <c r="D264" i="3" s="1"/>
  <c r="E264" i="3" l="1"/>
  <c r="F264" i="3"/>
  <c r="K264" i="3" s="1"/>
  <c r="M264" i="3" s="1"/>
  <c r="G264" i="3" l="1"/>
  <c r="H264" i="3"/>
  <c r="I264" i="3" s="1" a="1"/>
  <c r="I264" i="3" s="1"/>
  <c r="B265" i="3" l="1"/>
  <c r="D265" i="3" s="1"/>
  <c r="E265" i="3" s="1"/>
  <c r="F265" i="3" l="1"/>
  <c r="H265" i="3" s="1"/>
  <c r="I265" i="3" s="1" a="1"/>
  <c r="I265" i="3" s="1"/>
  <c r="G265" i="3" l="1"/>
  <c r="K265" i="3"/>
  <c r="M265" i="3" s="1"/>
  <c r="B266" i="3"/>
  <c r="D266" i="3" l="1"/>
  <c r="E266" i="3" s="1"/>
  <c r="F266" i="3" l="1"/>
  <c r="G266" i="3" s="1"/>
  <c r="H266" i="3" l="1"/>
  <c r="I266" i="3" s="1" a="1"/>
  <c r="I266" i="3" s="1"/>
  <c r="K266" i="3"/>
  <c r="M266" i="3" s="1"/>
  <c r="B267" i="3" l="1"/>
  <c r="D267" i="3" s="1"/>
  <c r="E267" i="3" s="1"/>
  <c r="F267" i="3" l="1"/>
  <c r="H267" i="3" s="1"/>
  <c r="I267" i="3" s="1" a="1"/>
  <c r="I267" i="3" s="1"/>
  <c r="K267" i="3"/>
  <c r="M267" i="3" s="1"/>
  <c r="G267" i="3"/>
  <c r="B268" i="3"/>
  <c r="D268" i="3" l="1"/>
  <c r="E268" i="3" s="1"/>
  <c r="F268" i="3" l="1"/>
  <c r="H268" i="3" l="1"/>
  <c r="I268" i="3" s="1" a="1"/>
  <c r="I268" i="3" s="1"/>
  <c r="K268" i="3"/>
  <c r="M268" i="3" s="1"/>
  <c r="G268" i="3"/>
  <c r="B269" i="3" l="1"/>
  <c r="D269" i="3" l="1"/>
  <c r="E269" i="3" s="1"/>
  <c r="F269" i="3" l="1"/>
  <c r="H269" i="3" l="1"/>
  <c r="I269" i="3" s="1" a="1"/>
  <c r="I269" i="3" s="1"/>
  <c r="G269" i="3"/>
  <c r="K269" i="3"/>
  <c r="M269" i="3" s="1"/>
  <c r="B270" i="3" l="1"/>
  <c r="D270" i="3" l="1"/>
  <c r="E270" i="3" s="1"/>
  <c r="F270" i="3" l="1"/>
  <c r="H270" i="3" l="1"/>
  <c r="I270" i="3" s="1" a="1"/>
  <c r="I270" i="3" s="1"/>
  <c r="G270" i="3"/>
  <c r="K270" i="3"/>
  <c r="M270" i="3" s="1"/>
  <c r="B271" i="3" l="1"/>
  <c r="D271" i="3" s="1"/>
  <c r="E271" i="3" s="1"/>
  <c r="F271" i="3" l="1"/>
  <c r="H271" i="3" s="1"/>
  <c r="I271" i="3" s="1" a="1"/>
  <c r="I271" i="3" s="1"/>
  <c r="G271" i="3"/>
  <c r="K271" i="3" l="1"/>
  <c r="M271" i="3" s="1"/>
  <c r="B272" i="3"/>
  <c r="D272" i="3" l="1"/>
  <c r="E272" i="3" s="1"/>
  <c r="F272" i="3" l="1"/>
  <c r="H272" i="3" s="1"/>
  <c r="G272" i="3" l="1"/>
  <c r="K272" i="3"/>
  <c r="M272" i="3" s="1"/>
  <c r="I272" i="3" a="1"/>
  <c r="I272" i="3" s="1"/>
  <c r="B273" i="3"/>
  <c r="D273" i="3" s="1"/>
  <c r="E273" i="3" s="1"/>
  <c r="F273" i="3" l="1"/>
  <c r="H273" i="3" s="1"/>
  <c r="I273" i="3" s="1" a="1"/>
  <c r="I273" i="3" s="1"/>
  <c r="K273" i="3" l="1"/>
  <c r="M273" i="3" s="1"/>
  <c r="G273" i="3"/>
  <c r="B274" i="3"/>
  <c r="D274" i="3" l="1"/>
  <c r="E274" i="3" s="1"/>
  <c r="F274" i="3" l="1"/>
  <c r="G274" i="3" s="1"/>
  <c r="K274" i="3" l="1"/>
  <c r="M274" i="3" s="1"/>
  <c r="H274" i="3"/>
  <c r="I274" i="3" s="1" a="1"/>
  <c r="I274" i="3" s="1"/>
  <c r="B275" i="3" l="1"/>
  <c r="D275" i="3" s="1"/>
  <c r="E275" i="3" s="1"/>
  <c r="F275" i="3" l="1"/>
  <c r="K275" i="3" s="1"/>
  <c r="M275" i="3" s="1"/>
  <c r="H275" i="3" l="1"/>
  <c r="I275" i="3" s="1" a="1"/>
  <c r="I275" i="3" s="1"/>
  <c r="G275" i="3"/>
  <c r="B276" i="3" l="1"/>
  <c r="D276" i="3" s="1"/>
  <c r="E276" i="3" s="1"/>
  <c r="F276" i="3" l="1"/>
  <c r="H276" i="3" s="1"/>
  <c r="I276" i="3" s="1" a="1"/>
  <c r="I276" i="3" s="1"/>
  <c r="B277" i="3" l="1"/>
  <c r="K276" i="3"/>
  <c r="M276" i="3" s="1"/>
  <c r="G276" i="3"/>
  <c r="D277" i="3"/>
  <c r="E277" i="3" s="1"/>
  <c r="F277" i="3" l="1"/>
  <c r="H277" i="3" l="1"/>
  <c r="I277" i="3" s="1" a="1"/>
  <c r="I277" i="3" s="1"/>
  <c r="K277" i="3"/>
  <c r="M277" i="3" s="1"/>
  <c r="G277" i="3"/>
  <c r="B278" i="3" l="1"/>
  <c r="D278" i="3" l="1"/>
  <c r="E278" i="3" s="1"/>
  <c r="F278" i="3" l="1"/>
  <c r="H278" i="3" s="1"/>
  <c r="I278" i="3" s="1" a="1"/>
  <c r="I278" i="3" s="1"/>
  <c r="G278" i="3" l="1"/>
  <c r="K278" i="3"/>
  <c r="M278" i="3" s="1"/>
  <c r="B279" i="3"/>
  <c r="D279" i="3" s="1"/>
  <c r="E279" i="3" s="1"/>
  <c r="F279" i="3" l="1"/>
  <c r="H279" i="3" s="1"/>
  <c r="I279" i="3" s="1" a="1"/>
  <c r="I279" i="3" s="1"/>
  <c r="K279" i="3" l="1"/>
  <c r="M279" i="3" s="1"/>
  <c r="G279" i="3"/>
  <c r="B280" i="3"/>
  <c r="D280" i="3" l="1"/>
  <c r="E280" i="3" s="1"/>
  <c r="F280" i="3" l="1"/>
  <c r="K280" i="3" s="1"/>
  <c r="M280" i="3" s="1"/>
  <c r="G280" i="3" l="1"/>
  <c r="H280" i="3"/>
  <c r="I280" i="3" s="1" a="1"/>
  <c r="I280" i="3" s="1"/>
  <c r="B281" i="3"/>
  <c r="D281" i="3" l="1"/>
  <c r="E281" i="3" s="1"/>
  <c r="F281" i="3" l="1"/>
  <c r="H281" i="3" s="1"/>
  <c r="G281" i="3"/>
  <c r="K281" i="3" l="1"/>
  <c r="M281" i="3" s="1"/>
  <c r="I281" i="3" a="1"/>
  <c r="I281" i="3" s="1"/>
  <c r="B282" i="3"/>
  <c r="D282" i="3" s="1"/>
  <c r="E282" i="3" l="1"/>
  <c r="F282" i="3"/>
  <c r="H282" i="3"/>
  <c r="I282" i="3" s="1" a="1"/>
  <c r="I282" i="3" s="1"/>
  <c r="K282" i="3"/>
  <c r="M282" i="3" s="1"/>
  <c r="G282" i="3"/>
  <c r="B283" i="3" l="1"/>
  <c r="D283" i="3" l="1"/>
  <c r="E283" i="3" s="1"/>
  <c r="F283" i="3" l="1"/>
  <c r="G283" i="3" s="1"/>
  <c r="H283" i="3"/>
  <c r="I283" i="3" s="1" a="1"/>
  <c r="I283" i="3" s="1"/>
  <c r="K283" i="3" l="1"/>
  <c r="M283" i="3" s="1"/>
  <c r="B284" i="3"/>
  <c r="D284" i="3" s="1"/>
  <c r="E284" i="3" s="1"/>
  <c r="F284" i="3" l="1"/>
  <c r="H284" i="3" s="1"/>
  <c r="I284" i="3" s="1" a="1"/>
  <c r="I284" i="3" s="1"/>
  <c r="K284" i="3" l="1"/>
  <c r="M284" i="3" s="1"/>
  <c r="G284" i="3"/>
  <c r="B285" i="3"/>
  <c r="D285" i="3" l="1"/>
  <c r="E285" i="3" s="1"/>
  <c r="F285" i="3" l="1"/>
  <c r="H285" i="3" s="1"/>
  <c r="I285" i="3" s="1" a="1"/>
  <c r="I285" i="3" s="1"/>
  <c r="B286" i="3" l="1"/>
  <c r="D286" i="3" s="1"/>
  <c r="E286" i="3" s="1"/>
  <c r="K285" i="3"/>
  <c r="M285" i="3" s="1"/>
  <c r="G285" i="3"/>
  <c r="F286" i="3" l="1"/>
  <c r="H286" i="3" s="1"/>
  <c r="I286" i="3" s="1" a="1"/>
  <c r="I286" i="3" s="1"/>
  <c r="K286" i="3" l="1"/>
  <c r="M286" i="3" s="1"/>
  <c r="G286" i="3"/>
  <c r="B287" i="3"/>
  <c r="D287" i="3" l="1"/>
  <c r="E287" i="3" s="1"/>
  <c r="F287" i="3" l="1"/>
  <c r="H287" i="3" s="1"/>
  <c r="G287" i="3" l="1"/>
  <c r="K287" i="3"/>
  <c r="M287" i="3" s="1"/>
  <c r="I287" i="3" a="1"/>
  <c r="I287" i="3" s="1"/>
  <c r="B288" i="3"/>
  <c r="D288" i="3" s="1"/>
  <c r="E288" i="3" l="1"/>
  <c r="F288" i="3"/>
  <c r="H288" i="3" s="1"/>
  <c r="I288" i="3" s="1" a="1"/>
  <c r="I288" i="3" s="1"/>
  <c r="G288" i="3"/>
  <c r="K288" i="3"/>
  <c r="M288" i="3" s="1"/>
  <c r="B289" i="3" l="1"/>
  <c r="D289" i="3" s="1"/>
  <c r="E289" i="3" s="1"/>
  <c r="F289" i="3" l="1"/>
  <c r="H289" i="3" s="1"/>
  <c r="I289" i="3" s="1" a="1"/>
  <c r="I289" i="3" s="1"/>
  <c r="B290" i="3" l="1"/>
  <c r="D290" i="3" s="1"/>
  <c r="E290" i="3" s="1"/>
  <c r="G289" i="3"/>
  <c r="K289" i="3"/>
  <c r="M289" i="3" s="1"/>
  <c r="F290" i="3" l="1"/>
  <c r="H290" i="3" l="1"/>
  <c r="I290" i="3" s="1" a="1"/>
  <c r="I290" i="3" s="1"/>
  <c r="G290" i="3"/>
  <c r="K290" i="3"/>
  <c r="M290" i="3" s="1"/>
  <c r="B291" i="3"/>
  <c r="D291" i="3" l="1"/>
  <c r="E291" i="3" s="1"/>
  <c r="F291" i="3" l="1"/>
  <c r="H291" i="3" s="1"/>
  <c r="I291" i="3" s="1" a="1"/>
  <c r="I291" i="3" s="1"/>
  <c r="K291" i="3" l="1"/>
  <c r="M291" i="3" s="1"/>
  <c r="G291" i="3"/>
  <c r="B292" i="3"/>
  <c r="D292" i="3"/>
  <c r="E292" i="3" s="1"/>
  <c r="F292" i="3" l="1"/>
  <c r="H292" i="3" l="1"/>
  <c r="I292" i="3" s="1" a="1"/>
  <c r="I292" i="3" s="1"/>
  <c r="G292" i="3"/>
  <c r="K292" i="3"/>
  <c r="M292" i="3" s="1"/>
  <c r="B293" i="3" l="1"/>
  <c r="D293" i="3" l="1"/>
  <c r="E293" i="3" s="1"/>
  <c r="F293" i="3" l="1"/>
  <c r="H293" i="3" s="1"/>
  <c r="K293" i="3" l="1"/>
  <c r="M293" i="3" s="1"/>
  <c r="I293" i="3" a="1"/>
  <c r="I293" i="3" s="1"/>
  <c r="B294" i="3"/>
  <c r="G293" i="3"/>
  <c r="D294" i="3"/>
  <c r="E294" i="3" s="1"/>
  <c r="F294" i="3"/>
  <c r="H294" i="3" l="1"/>
  <c r="I294" i="3" s="1" a="1"/>
  <c r="I294" i="3" s="1"/>
  <c r="G294" i="3"/>
  <c r="K294" i="3"/>
  <c r="M294" i="3" s="1"/>
  <c r="B295" i="3" l="1"/>
  <c r="D295" i="3" l="1"/>
  <c r="E295" i="3" s="1"/>
  <c r="F295" i="3" l="1"/>
  <c r="H295" i="3" s="1"/>
  <c r="I295" i="3" s="1" a="1"/>
  <c r="I295" i="3" s="1"/>
  <c r="G295" i="3" l="1"/>
  <c r="K295" i="3"/>
  <c r="M295" i="3" s="1"/>
  <c r="B296" i="3"/>
  <c r="D296" i="3" s="1"/>
  <c r="E296" i="3" s="1"/>
  <c r="F296" i="3" l="1"/>
  <c r="H296" i="3" s="1"/>
  <c r="I296" i="3" s="1" a="1"/>
  <c r="I296" i="3" s="1"/>
  <c r="K296" i="3" l="1"/>
  <c r="M296" i="3" s="1"/>
  <c r="G296" i="3"/>
  <c r="B297" i="3"/>
  <c r="D297" i="3" s="1"/>
  <c r="E297" i="3" s="1"/>
  <c r="F297" i="3" l="1"/>
  <c r="H297" i="3" s="1"/>
  <c r="K297" i="3" l="1"/>
  <c r="M297" i="3" s="1"/>
  <c r="G297" i="3"/>
  <c r="I297" i="3" a="1"/>
  <c r="I297" i="3" s="1"/>
  <c r="B298" i="3"/>
  <c r="D298" i="3" s="1"/>
  <c r="E298" i="3" l="1"/>
  <c r="F298" i="3"/>
  <c r="H298" i="3"/>
  <c r="I298" i="3" s="1" a="1"/>
  <c r="I298" i="3" s="1"/>
  <c r="G298" i="3"/>
  <c r="K298" i="3"/>
  <c r="M298" i="3" s="1"/>
  <c r="B299" i="3" l="1"/>
  <c r="D299" i="3" s="1"/>
  <c r="E299" i="3" s="1"/>
  <c r="F299" i="3" l="1"/>
  <c r="H299" i="3" s="1"/>
  <c r="I299" i="3" s="1" a="1"/>
  <c r="I299" i="3" s="1"/>
  <c r="G299" i="3" l="1"/>
  <c r="K299" i="3"/>
  <c r="M299" i="3" s="1"/>
  <c r="B300" i="3"/>
  <c r="D300" i="3" l="1"/>
  <c r="E300" i="3" s="1"/>
  <c r="F300" i="3" l="1"/>
  <c r="H300" i="3" s="1"/>
  <c r="G300" i="3" l="1"/>
  <c r="K300" i="3"/>
  <c r="M300" i="3" s="1"/>
  <c r="I300" i="3" a="1"/>
  <c r="I300" i="3" s="1"/>
  <c r="B301" i="3"/>
  <c r="D301" i="3"/>
  <c r="E301" i="3" s="1"/>
  <c r="F301" i="3" l="1"/>
  <c r="H301" i="3" s="1"/>
  <c r="I301" i="3" s="1" a="1"/>
  <c r="I301" i="3" s="1"/>
  <c r="G301" i="3" l="1"/>
  <c r="K301" i="3"/>
  <c r="M301" i="3" s="1"/>
  <c r="B302" i="3"/>
  <c r="D302" i="3" l="1"/>
  <c r="E302" i="3" s="1"/>
  <c r="F302" i="3" l="1"/>
  <c r="H302" i="3" s="1"/>
  <c r="I302" i="3" s="1" a="1"/>
  <c r="I302" i="3" s="1"/>
  <c r="K302" i="3" l="1"/>
  <c r="M302" i="3" s="1"/>
  <c r="G302" i="3"/>
  <c r="B303" i="3"/>
  <c r="D303" i="3" s="1"/>
  <c r="E303" i="3" s="1"/>
  <c r="F303" i="3" l="1"/>
  <c r="G303" i="3" s="1"/>
  <c r="K303" i="3"/>
  <c r="M303" i="3" s="1"/>
  <c r="H303" i="3" l="1"/>
  <c r="I303" i="3" l="1" a="1"/>
  <c r="I303" i="3" s="1"/>
  <c r="B304" i="3"/>
  <c r="D304" i="3" s="1"/>
  <c r="E304" i="3" s="1"/>
  <c r="F304" i="3"/>
  <c r="H304" i="3" s="1"/>
  <c r="K304" i="3" l="1"/>
  <c r="M304" i="3" s="1"/>
  <c r="G304" i="3"/>
  <c r="I304" i="3" a="1"/>
  <c r="I304" i="3" s="1"/>
  <c r="B305" i="3"/>
  <c r="D305" i="3"/>
  <c r="E305" i="3" s="1"/>
  <c r="F305" i="3" l="1"/>
  <c r="H305" i="3" s="1"/>
  <c r="G305" i="3" l="1"/>
  <c r="I305" i="3" a="1"/>
  <c r="I305" i="3" s="1"/>
  <c r="B306" i="3"/>
  <c r="K305" i="3"/>
  <c r="M305" i="3" s="1"/>
  <c r="D306" i="3"/>
  <c r="E306" i="3" s="1"/>
  <c r="F306" i="3" l="1"/>
  <c r="H306" i="3" s="1"/>
  <c r="K306" i="3" l="1"/>
  <c r="M306" i="3" s="1"/>
  <c r="G306" i="3"/>
  <c r="I306" i="3" a="1"/>
  <c r="I306" i="3" s="1"/>
  <c r="B307" i="3"/>
  <c r="D307" i="3" s="1"/>
  <c r="E307" i="3" s="1"/>
  <c r="F307" i="3" l="1"/>
  <c r="H307" i="3" s="1"/>
  <c r="I307" i="3" s="1" a="1"/>
  <c r="I307" i="3" s="1"/>
  <c r="B308" i="3" l="1"/>
  <c r="D308" i="3" s="1"/>
  <c r="E308" i="3" s="1"/>
  <c r="K307" i="3"/>
  <c r="M307" i="3" s="1"/>
  <c r="G307" i="3"/>
  <c r="F308" i="3" l="1"/>
  <c r="H308" i="3" s="1"/>
  <c r="G308" i="3" l="1"/>
  <c r="K308" i="3"/>
  <c r="M308" i="3" s="1"/>
  <c r="I308" i="3" a="1"/>
  <c r="I308" i="3" s="1"/>
  <c r="B309" i="3"/>
  <c r="D309" i="3" s="1"/>
  <c r="E309" i="3" s="1"/>
  <c r="F309" i="3" l="1"/>
  <c r="H309" i="3" l="1"/>
  <c r="G309" i="3"/>
  <c r="K309" i="3"/>
  <c r="M309" i="3" s="1"/>
  <c r="I309" i="3" l="1" a="1"/>
  <c r="I309" i="3" s="1"/>
  <c r="B310" i="3"/>
  <c r="D310" i="3" l="1"/>
  <c r="E310" i="3" s="1"/>
  <c r="F310" i="3" l="1"/>
  <c r="K310" i="3" l="1"/>
  <c r="M310" i="3" s="1"/>
  <c r="G310" i="3"/>
  <c r="H310" i="3"/>
  <c r="I310" i="3" s="1" a="1"/>
  <c r="I310" i="3" s="1"/>
  <c r="B311" i="3" l="1"/>
  <c r="D311" i="3" l="1"/>
  <c r="E311" i="3" s="1"/>
  <c r="F311" i="3" l="1"/>
  <c r="H311" i="3" s="1"/>
  <c r="G311" i="3"/>
  <c r="K311" i="3"/>
  <c r="M311" i="3" s="1"/>
  <c r="I311" i="3" l="1" a="1"/>
  <c r="I311" i="3" s="1"/>
  <c r="B312" i="3"/>
  <c r="D312" i="3" s="1"/>
  <c r="E312" i="3" s="1"/>
  <c r="F312" i="3" l="1"/>
  <c r="H312" i="3" s="1"/>
  <c r="I312" i="3" s="1" a="1"/>
  <c r="I312" i="3" s="1"/>
  <c r="B313" i="3"/>
  <c r="G312" i="3"/>
  <c r="K312" i="3"/>
  <c r="M312" i="3" s="1"/>
  <c r="D313" i="3"/>
  <c r="E313" i="3" s="1"/>
  <c r="F313" i="3" l="1"/>
  <c r="H313" i="3" s="1"/>
  <c r="I313" i="3" s="1" a="1"/>
  <c r="I313" i="3" s="1"/>
  <c r="G313" i="3" l="1"/>
  <c r="K313" i="3"/>
  <c r="M313" i="3" s="1"/>
  <c r="B314" i="3"/>
  <c r="D314" i="3" s="1"/>
  <c r="E314" i="3" s="1"/>
  <c r="F314" i="3" l="1"/>
  <c r="H314" i="3" s="1"/>
  <c r="I314" i="3" s="1" a="1"/>
  <c r="I314" i="3" s="1"/>
  <c r="K314" i="3" l="1"/>
  <c r="M314" i="3" s="1"/>
  <c r="G314" i="3"/>
  <c r="B315" i="3"/>
  <c r="D315" i="3" l="1"/>
  <c r="E315" i="3" s="1"/>
  <c r="F315" i="3" l="1"/>
  <c r="H315" i="3" s="1"/>
  <c r="I315" i="3" s="1" a="1"/>
  <c r="I315" i="3" s="1"/>
  <c r="G315" i="3"/>
  <c r="K315" i="3"/>
  <c r="M315" i="3" s="1"/>
  <c r="B316" i="3" l="1"/>
  <c r="D316" i="3" l="1"/>
  <c r="E316" i="3" s="1"/>
  <c r="F316" i="3" l="1"/>
  <c r="H316" i="3" s="1"/>
  <c r="I316" i="3" s="1" a="1"/>
  <c r="I316" i="3" s="1"/>
  <c r="K316" i="3" l="1"/>
  <c r="M316" i="3" s="1"/>
  <c r="G316" i="3"/>
  <c r="B317" i="3"/>
  <c r="D317" i="3" l="1"/>
  <c r="E317" i="3" s="1"/>
  <c r="F317" i="3" l="1"/>
  <c r="H317" i="3" s="1"/>
  <c r="I317" i="3" s="1" a="1"/>
  <c r="I317" i="3" s="1"/>
  <c r="K317" i="3" l="1"/>
  <c r="M317" i="3" s="1"/>
  <c r="G317" i="3"/>
  <c r="B318" i="3"/>
  <c r="D318" i="3" l="1"/>
  <c r="E318" i="3" s="1"/>
  <c r="F318" i="3" l="1"/>
  <c r="H318" i="3" s="1"/>
  <c r="I318" i="3" s="1" a="1"/>
  <c r="I318" i="3" s="1"/>
  <c r="K318" i="3"/>
  <c r="M318" i="3" s="1"/>
  <c r="G318" i="3" l="1"/>
  <c r="B319" i="3"/>
  <c r="D319" i="3" l="1"/>
  <c r="E319" i="3" s="1"/>
  <c r="F319" i="3" l="1"/>
  <c r="H319" i="3" s="1"/>
  <c r="I319" i="3" s="1" a="1"/>
  <c r="I319" i="3" s="1"/>
  <c r="K319" i="3" l="1"/>
  <c r="M319" i="3" s="1"/>
  <c r="G319" i="3"/>
  <c r="B320" i="3"/>
  <c r="D320" i="3" l="1"/>
  <c r="E320" i="3" s="1"/>
  <c r="F320" i="3" l="1"/>
  <c r="K320" i="3" s="1"/>
  <c r="M320" i="3" s="1"/>
  <c r="H320" i="3" l="1"/>
  <c r="I320" i="3" s="1" a="1"/>
  <c r="I320" i="3" s="1"/>
  <c r="G320" i="3"/>
  <c r="B321" i="3" l="1"/>
  <c r="D321" i="3" s="1"/>
  <c r="E321" i="3" s="1"/>
  <c r="F321" i="3" l="1"/>
  <c r="H321" i="3" l="1"/>
  <c r="I321" i="3" s="1" a="1"/>
  <c r="I321" i="3" s="1"/>
  <c r="G321" i="3"/>
  <c r="K321" i="3"/>
  <c r="M321" i="3" s="1"/>
  <c r="B322" i="3" l="1"/>
  <c r="D322" i="3" l="1"/>
  <c r="E322" i="3" s="1"/>
  <c r="F322" i="3" l="1"/>
  <c r="H322" i="3" l="1"/>
  <c r="I322" i="3" s="1" a="1"/>
  <c r="I322" i="3" s="1"/>
  <c r="G322" i="3"/>
  <c r="K322" i="3"/>
  <c r="M322" i="3" s="1"/>
  <c r="B323" i="3" l="1"/>
  <c r="D323" i="3" l="1"/>
  <c r="E323" i="3" s="1"/>
  <c r="F323" i="3" l="1"/>
  <c r="H323" i="3" s="1"/>
  <c r="I323" i="3" s="1" a="1"/>
  <c r="I323" i="3" s="1"/>
  <c r="K323" i="3" l="1"/>
  <c r="M323" i="3" s="1"/>
  <c r="G323" i="3"/>
  <c r="B324" i="3"/>
  <c r="D324" i="3" l="1"/>
  <c r="E324" i="3" s="1"/>
  <c r="F324" i="3" l="1"/>
  <c r="H324" i="3" s="1"/>
  <c r="I324" i="3" s="1" a="1"/>
  <c r="I324" i="3" s="1"/>
  <c r="K324" i="3" l="1"/>
  <c r="M324" i="3" s="1"/>
  <c r="G324" i="3"/>
  <c r="B325" i="3"/>
  <c r="D325" i="3" l="1"/>
  <c r="E325" i="3" s="1"/>
  <c r="F325" i="3" l="1"/>
  <c r="H325" i="3" s="1"/>
  <c r="I325" i="3" s="1" a="1"/>
  <c r="I325" i="3" s="1"/>
  <c r="G325" i="3" l="1"/>
  <c r="K325" i="3"/>
  <c r="M325" i="3" s="1"/>
  <c r="B326" i="3"/>
  <c r="D326" i="3" l="1"/>
  <c r="E326" i="3" s="1"/>
  <c r="F326" i="3" l="1"/>
  <c r="G326" i="3" s="1"/>
  <c r="H326" i="3" l="1"/>
  <c r="I326" i="3" s="1" a="1"/>
  <c r="I326" i="3" s="1"/>
  <c r="K326" i="3"/>
  <c r="M326" i="3" s="1"/>
  <c r="B327" i="3" l="1"/>
  <c r="D327" i="3"/>
  <c r="E327" i="3" s="1"/>
  <c r="F327" i="3" l="1"/>
  <c r="H327" i="3" s="1"/>
  <c r="I327" i="3" s="1" a="1"/>
  <c r="I327" i="3" s="1"/>
  <c r="K327" i="3" l="1"/>
  <c r="M327" i="3" s="1"/>
  <c r="G327" i="3"/>
  <c r="B328" i="3"/>
  <c r="D328" i="3" l="1"/>
  <c r="E328" i="3" s="1"/>
  <c r="F328" i="3" l="1"/>
  <c r="H328" i="3" l="1"/>
  <c r="I328" i="3" s="1" a="1"/>
  <c r="I328" i="3" s="1"/>
  <c r="K328" i="3"/>
  <c r="M328" i="3" s="1"/>
  <c r="G328" i="3"/>
  <c r="B329" i="3" l="1"/>
  <c r="D329" i="3" l="1"/>
  <c r="E329" i="3" s="1"/>
  <c r="F329" i="3" l="1"/>
  <c r="H329" i="3" s="1"/>
  <c r="I329" i="3" s="1" a="1"/>
  <c r="I329" i="3" s="1"/>
  <c r="G329" i="3" l="1"/>
  <c r="K329" i="3"/>
  <c r="M329" i="3" s="1"/>
  <c r="B330" i="3"/>
  <c r="D330" i="3" l="1"/>
  <c r="E330" i="3" s="1"/>
  <c r="F330" i="3" l="1"/>
  <c r="H330" i="3" s="1"/>
  <c r="I330" i="3" s="1" a="1"/>
  <c r="I330" i="3" s="1"/>
  <c r="K330" i="3"/>
  <c r="M330" i="3" s="1"/>
  <c r="G330" i="3"/>
  <c r="B331" i="3" l="1"/>
  <c r="D331" i="3" l="1"/>
  <c r="E331" i="3" s="1"/>
  <c r="F331" i="3" l="1"/>
  <c r="H331" i="3" s="1"/>
  <c r="I331" i="3" s="1" a="1"/>
  <c r="I331" i="3" s="1"/>
  <c r="K331" i="3" l="1"/>
  <c r="M331" i="3" s="1"/>
  <c r="G331" i="3"/>
  <c r="B332" i="3"/>
  <c r="D332" i="3" l="1"/>
  <c r="E332" i="3" s="1"/>
  <c r="F332" i="3" l="1"/>
  <c r="H332" i="3" l="1"/>
  <c r="I332" i="3" s="1" a="1"/>
  <c r="I332" i="3" s="1"/>
  <c r="G332" i="3"/>
  <c r="K332" i="3"/>
  <c r="M332" i="3" s="1"/>
  <c r="B333" i="3" l="1"/>
  <c r="D333" i="3" l="1"/>
  <c r="E333" i="3" s="1"/>
  <c r="F333" i="3" l="1"/>
  <c r="H333" i="3" s="1"/>
  <c r="I333" i="3" s="1" a="1"/>
  <c r="I333" i="3" s="1"/>
  <c r="G333" i="3" l="1"/>
  <c r="K333" i="3"/>
  <c r="M333" i="3" s="1"/>
  <c r="B334" i="3"/>
  <c r="D334" i="3" l="1"/>
  <c r="E334" i="3" s="1"/>
  <c r="F334" i="3" l="1"/>
  <c r="H334" i="3" s="1"/>
  <c r="I334" i="3" s="1" a="1"/>
  <c r="I334" i="3" s="1"/>
  <c r="K334" i="3" l="1"/>
  <c r="M334" i="3" s="1"/>
  <c r="G334" i="3"/>
  <c r="B335" i="3"/>
  <c r="D335" i="3" l="1"/>
  <c r="E335" i="3" s="1"/>
  <c r="F335" i="3" l="1"/>
  <c r="H335" i="3" s="1"/>
  <c r="I335" i="3" s="1" a="1"/>
  <c r="I335" i="3" s="1"/>
  <c r="K335" i="3" l="1"/>
  <c r="M335" i="3" s="1"/>
  <c r="G335" i="3"/>
  <c r="B336" i="3"/>
  <c r="D336" i="3" l="1"/>
  <c r="E336" i="3" s="1"/>
  <c r="F336" i="3" l="1"/>
  <c r="H336" i="3" l="1"/>
  <c r="I336" i="3" s="1" a="1"/>
  <c r="I336" i="3" s="1"/>
  <c r="G336" i="3"/>
  <c r="K336" i="3"/>
  <c r="M336" i="3" s="1"/>
  <c r="B337" i="3" l="1"/>
  <c r="D337" i="3" l="1"/>
  <c r="E337" i="3" s="1"/>
  <c r="F337" i="3" l="1"/>
  <c r="H337" i="3" s="1"/>
  <c r="I337" i="3" s="1" a="1"/>
  <c r="I337" i="3" s="1"/>
  <c r="K337" i="3" l="1"/>
  <c r="M337" i="3" s="1"/>
  <c r="G337" i="3"/>
  <c r="B338" i="3"/>
  <c r="D338" i="3" l="1"/>
  <c r="E338" i="3" s="1"/>
  <c r="F338" i="3" l="1"/>
  <c r="H338" i="3" s="1"/>
  <c r="I338" i="3" s="1" a="1"/>
  <c r="I338" i="3" s="1"/>
  <c r="G338" i="3" l="1"/>
  <c r="K338" i="3"/>
  <c r="M338" i="3" s="1"/>
  <c r="B339" i="3"/>
  <c r="D339" i="3" l="1"/>
  <c r="E339" i="3" s="1"/>
  <c r="F339" i="3" l="1"/>
  <c r="H339" i="3" s="1"/>
  <c r="I339" i="3" s="1" a="1"/>
  <c r="I339" i="3" s="1"/>
  <c r="G339" i="3"/>
  <c r="K339" i="3"/>
  <c r="M339" i="3" s="1"/>
  <c r="B340" i="3" l="1"/>
  <c r="D340" i="3" l="1"/>
  <c r="E340" i="3" s="1"/>
  <c r="F340" i="3" l="1"/>
  <c r="H340" i="3" l="1"/>
  <c r="I340" i="3" s="1" a="1"/>
  <c r="I340" i="3" s="1"/>
  <c r="K340" i="3"/>
  <c r="M340" i="3" s="1"/>
  <c r="G340" i="3"/>
  <c r="B341" i="3" l="1"/>
  <c r="D341" i="3" l="1"/>
  <c r="E341" i="3" s="1"/>
  <c r="F341" i="3" l="1"/>
  <c r="H341" i="3" s="1"/>
  <c r="I341" i="3" s="1" a="1"/>
  <c r="I341" i="3" s="1"/>
  <c r="K341" i="3" l="1"/>
  <c r="M341" i="3" s="1"/>
  <c r="G341" i="3"/>
  <c r="B342" i="3"/>
  <c r="D342" i="3" l="1"/>
  <c r="E342" i="3" s="1"/>
  <c r="F342" i="3" l="1"/>
  <c r="H342" i="3" l="1"/>
  <c r="I342" i="3" s="1" a="1"/>
  <c r="I342" i="3" s="1"/>
  <c r="G342" i="3"/>
  <c r="K342" i="3"/>
  <c r="M342" i="3" s="1"/>
  <c r="B343" i="3" l="1"/>
  <c r="D343" i="3" s="1"/>
  <c r="E343" i="3" s="1"/>
  <c r="F343" i="3" l="1"/>
  <c r="H343" i="3" s="1"/>
  <c r="I343" i="3" s="1" a="1"/>
  <c r="I343" i="3" s="1"/>
  <c r="K343" i="3" l="1"/>
  <c r="M343" i="3" s="1"/>
  <c r="G343" i="3"/>
  <c r="B344" i="3"/>
  <c r="D344" i="3" l="1"/>
  <c r="E344" i="3" s="1"/>
  <c r="F344" i="3" l="1"/>
  <c r="H344" i="3" s="1"/>
  <c r="I344" i="3" s="1" a="1"/>
  <c r="I344" i="3" s="1"/>
  <c r="G344" i="3" l="1"/>
  <c r="K344" i="3"/>
  <c r="M344" i="3" s="1"/>
  <c r="B345" i="3"/>
  <c r="D345" i="3" l="1"/>
  <c r="E345" i="3" s="1"/>
  <c r="F345" i="3" l="1"/>
  <c r="H345" i="3" s="1"/>
  <c r="I345" i="3" s="1" a="1"/>
  <c r="I345" i="3" s="1"/>
  <c r="G345" i="3" l="1"/>
  <c r="K345" i="3"/>
  <c r="M345" i="3" s="1"/>
  <c r="B346" i="3"/>
  <c r="D346" i="3" l="1"/>
  <c r="E346" i="3" s="1"/>
  <c r="F346" i="3" l="1"/>
  <c r="H346" i="3" l="1"/>
  <c r="I346" i="3" s="1" a="1"/>
  <c r="I346" i="3" s="1"/>
  <c r="K346" i="3"/>
  <c r="M346" i="3" s="1"/>
  <c r="G346" i="3"/>
  <c r="B347" i="3" l="1"/>
  <c r="D347" i="3" l="1"/>
  <c r="E347" i="3" s="1"/>
  <c r="F347" i="3" l="1"/>
  <c r="H347" i="3" s="1"/>
  <c r="I347" i="3" s="1" a="1"/>
  <c r="I347" i="3" s="1"/>
  <c r="K347" i="3" l="1"/>
  <c r="M347" i="3" s="1"/>
  <c r="G347" i="3"/>
  <c r="B348" i="3"/>
  <c r="D348" i="3" l="1"/>
  <c r="E348" i="3" s="1"/>
  <c r="F348" i="3" l="1"/>
  <c r="H348" i="3" s="1"/>
  <c r="I348" i="3" s="1" a="1"/>
  <c r="I348" i="3" s="1"/>
  <c r="K348" i="3" l="1"/>
  <c r="M348" i="3" s="1"/>
  <c r="G348" i="3"/>
  <c r="B349" i="3"/>
  <c r="D349" i="3" l="1"/>
  <c r="E349" i="3" s="1"/>
  <c r="F349" i="3" l="1"/>
  <c r="H349" i="3" l="1"/>
  <c r="I349" i="3" s="1" a="1"/>
  <c r="I349" i="3" s="1"/>
  <c r="K349" i="3"/>
  <c r="M349" i="3" s="1"/>
  <c r="G349" i="3"/>
  <c r="B350" i="3" l="1"/>
  <c r="D350" i="3" l="1"/>
  <c r="E350" i="3" s="1"/>
  <c r="F350" i="3" l="1"/>
  <c r="H350" i="3" l="1"/>
  <c r="I350" i="3" s="1" a="1"/>
  <c r="I350" i="3" s="1"/>
  <c r="K350" i="3"/>
  <c r="M350" i="3" s="1"/>
  <c r="G350" i="3"/>
  <c r="B351" i="3" l="1"/>
  <c r="D351" i="3" s="1"/>
  <c r="E351" i="3" s="1"/>
  <c r="F351" i="3" l="1"/>
  <c r="H351" i="3" l="1"/>
  <c r="I351" i="3" s="1" a="1"/>
  <c r="I351" i="3" s="1"/>
  <c r="G351" i="3"/>
  <c r="K351" i="3"/>
  <c r="M351" i="3" s="1"/>
  <c r="B352" i="3" l="1"/>
  <c r="D352" i="3" s="1"/>
  <c r="E352" i="3" l="1"/>
  <c r="F352" i="3"/>
  <c r="H352" i="3" s="1"/>
  <c r="I352" i="3" s="1" a="1"/>
  <c r="I352" i="3" s="1"/>
  <c r="G352" i="3"/>
  <c r="K352" i="3" l="1"/>
  <c r="M352" i="3" s="1"/>
  <c r="B353" i="3"/>
  <c r="D353" i="3" l="1"/>
  <c r="E353" i="3" s="1"/>
  <c r="F353" i="3" l="1"/>
  <c r="H353" i="3" s="1"/>
  <c r="I353" i="3" s="1" a="1"/>
  <c r="I353" i="3" s="1"/>
  <c r="G353" i="3" l="1"/>
  <c r="K353" i="3"/>
  <c r="M353" i="3" s="1"/>
  <c r="B354" i="3"/>
  <c r="D354" i="3" l="1"/>
  <c r="E354" i="3" s="1"/>
  <c r="F354" i="3" l="1"/>
  <c r="H354" i="3" s="1"/>
  <c r="I354" i="3" s="1" a="1"/>
  <c r="I354" i="3" s="1"/>
  <c r="G354" i="3" l="1"/>
  <c r="K354" i="3"/>
  <c r="M354" i="3" s="1"/>
  <c r="B355" i="3"/>
  <c r="D355" i="3" l="1"/>
  <c r="E355" i="3" s="1"/>
  <c r="F355" i="3" l="1"/>
  <c r="H355" i="3" l="1"/>
  <c r="I355" i="3" s="1" a="1"/>
  <c r="I355" i="3" s="1"/>
  <c r="G355" i="3"/>
  <c r="K355" i="3"/>
  <c r="M355" i="3" s="1"/>
  <c r="B356" i="3" l="1"/>
  <c r="D356" i="3" l="1"/>
  <c r="E356" i="3" s="1"/>
  <c r="F356" i="3" l="1"/>
  <c r="H356" i="3" l="1"/>
  <c r="I356" i="3" s="1" a="1"/>
  <c r="I356" i="3" s="1"/>
  <c r="G356" i="3"/>
  <c r="K356" i="3"/>
  <c r="M356" i="3" s="1"/>
  <c r="B357" i="3" l="1"/>
  <c r="D357" i="3" l="1"/>
  <c r="E357" i="3" s="1"/>
  <c r="F357" i="3" l="1"/>
  <c r="H357" i="3" s="1"/>
  <c r="I357" i="3" s="1" a="1"/>
  <c r="I357" i="3" s="1"/>
  <c r="G357" i="3" l="1"/>
  <c r="K357" i="3"/>
  <c r="M357" i="3" s="1"/>
  <c r="B358" i="3"/>
  <c r="D358" i="3" l="1"/>
  <c r="E358" i="3" s="1"/>
  <c r="F358" i="3" l="1"/>
  <c r="H358" i="3" s="1"/>
  <c r="I358" i="3" s="1" a="1"/>
  <c r="I358" i="3" s="1"/>
  <c r="G358" i="3" l="1"/>
  <c r="K358" i="3"/>
  <c r="M358" i="3" s="1"/>
  <c r="B359" i="3"/>
  <c r="D359" i="3" s="1"/>
  <c r="E359" i="3" s="1"/>
  <c r="F359" i="3" l="1"/>
  <c r="H359" i="3" s="1"/>
  <c r="I359" i="3" s="1" a="1"/>
  <c r="I359" i="3" s="1"/>
  <c r="K359" i="3" l="1"/>
  <c r="M359" i="3" s="1"/>
  <c r="G359" i="3"/>
  <c r="B360" i="3"/>
  <c r="D360" i="3" l="1"/>
  <c r="E360" i="3" s="1"/>
  <c r="F360" i="3" l="1"/>
  <c r="H360" i="3" l="1"/>
  <c r="I360" i="3" s="1" a="1"/>
  <c r="I360" i="3" s="1"/>
  <c r="G360" i="3"/>
  <c r="K360" i="3"/>
  <c r="M360" i="3" s="1"/>
  <c r="B361" i="3" l="1"/>
  <c r="D361" i="3" l="1"/>
  <c r="E361" i="3" s="1"/>
  <c r="F361" i="3" l="1"/>
  <c r="H361" i="3" s="1"/>
  <c r="I361" i="3" s="1" a="1"/>
  <c r="I361" i="3" s="1"/>
  <c r="K361" i="3" l="1"/>
  <c r="M361" i="3" s="1"/>
  <c r="G361" i="3"/>
  <c r="B362" i="3"/>
  <c r="D362" i="3" l="1"/>
  <c r="E362" i="3" s="1"/>
  <c r="F362" i="3" l="1"/>
  <c r="H362" i="3" l="1"/>
  <c r="I362" i="3" s="1" a="1"/>
  <c r="I362" i="3" s="1"/>
  <c r="G362" i="3"/>
  <c r="K362" i="3"/>
  <c r="M362" i="3" s="1"/>
  <c r="B363" i="3" l="1"/>
  <c r="D363" i="3" s="1"/>
  <c r="E363" i="3" s="1"/>
  <c r="F363" i="3" l="1"/>
  <c r="H363" i="3" l="1"/>
  <c r="I363" i="3" s="1" a="1"/>
  <c r="I363" i="3" s="1"/>
  <c r="K363" i="3"/>
  <c r="M363" i="3" s="1"/>
  <c r="G363" i="3"/>
  <c r="B364" i="3" l="1"/>
  <c r="D364" i="3" l="1"/>
  <c r="E364" i="3" s="1"/>
  <c r="F364" i="3" l="1"/>
  <c r="H364" i="3" s="1"/>
  <c r="I364" i="3" s="1" a="1"/>
  <c r="I364" i="3" s="1"/>
  <c r="K364" i="3" l="1"/>
  <c r="M364" i="3" s="1"/>
  <c r="G364" i="3"/>
  <c r="B365" i="3"/>
  <c r="D365" i="3" l="1"/>
  <c r="E365" i="3" s="1"/>
  <c r="F365" i="3" l="1"/>
  <c r="H365" i="3" s="1"/>
  <c r="I365" i="3" s="1" a="1"/>
  <c r="I365" i="3" s="1"/>
  <c r="K365" i="3" l="1"/>
  <c r="M365" i="3" s="1"/>
  <c r="G365" i="3"/>
  <c r="B366" i="3"/>
  <c r="D366" i="3" l="1"/>
  <c r="E366" i="3" s="1"/>
  <c r="F366" i="3" l="1"/>
  <c r="H366" i="3" l="1"/>
  <c r="I366" i="3" s="1" a="1"/>
  <c r="I366" i="3" s="1"/>
  <c r="G366" i="3"/>
  <c r="K366" i="3"/>
  <c r="M366" i="3" s="1"/>
  <c r="B367" i="3" l="1"/>
  <c r="D367" i="3" l="1"/>
  <c r="E367" i="3" s="1"/>
  <c r="D24" i="2" s="1" a="1"/>
  <c r="D24" i="2" s="1"/>
  <c r="F367" i="3" l="1"/>
  <c r="H367" i="3" s="1"/>
  <c r="I367" i="3" s="1" a="1"/>
  <c r="I367" i="3" s="1"/>
  <c r="D22" i="2" s="1"/>
  <c r="G367" i="3" l="1"/>
  <c r="D21" i="2" s="1"/>
  <c r="D23" i="2" s="1"/>
  <c r="K367" i="3"/>
  <c r="M36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<sst xmlns="http://schemas.openxmlformats.org/spreadsheetml/2006/main" count="39" uniqueCount="31">
  <si>
    <t>Day</t>
  </si>
  <si>
    <t>Demand Data 2022</t>
  </si>
  <si>
    <t>Demand Data 2021</t>
  </si>
  <si>
    <t>Demand Data 2020</t>
  </si>
  <si>
    <t xml:space="preserve">Beginning Inventory </t>
  </si>
  <si>
    <t>Demand</t>
  </si>
  <si>
    <t>Units Sold</t>
  </si>
  <si>
    <t>Unit Sales Missed</t>
  </si>
  <si>
    <t>Ending Inventory</t>
  </si>
  <si>
    <t>Holding Cost</t>
  </si>
  <si>
    <t>Amount Ordered</t>
  </si>
  <si>
    <t>Order Cost</t>
  </si>
  <si>
    <t xml:space="preserve">Actual Demand </t>
  </si>
  <si>
    <t>Quantity Discount Schedule for Ordering Processing &amp; Transporation Costs</t>
  </si>
  <si>
    <t>Order Quantity Minimum</t>
  </si>
  <si>
    <t>Order Quantity Maximum</t>
  </si>
  <si>
    <t>10001+</t>
  </si>
  <si>
    <t>Product Unit Value</t>
  </si>
  <si>
    <t>Delta Distibution, Inventory Replinishment System</t>
  </si>
  <si>
    <t xml:space="preserve">Day </t>
  </si>
  <si>
    <t>Inputs</t>
  </si>
  <si>
    <t>ReOrder Point</t>
  </si>
  <si>
    <t>YEAR</t>
  </si>
  <si>
    <t>Order Quantity</t>
  </si>
  <si>
    <t>Output</t>
  </si>
  <si>
    <t>Total Holding Cost</t>
  </si>
  <si>
    <t>Total Ordering Cost</t>
  </si>
  <si>
    <t>Total Cost</t>
  </si>
  <si>
    <t>Demand % Missed from Stock Outs</t>
  </si>
  <si>
    <t>Chart Report</t>
  </si>
  <si>
    <t>Holding Cost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</si>
</sst>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_(&quot;$&quot;* #,##0_);_(&quot;$&quot;* \(#,##0\);_(&quot;$&quot;* &quot;-&quot;??_);_(@_)"/>
  </numFmts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Times New Roman"/>
      <family val="1"/>
    </font>
    <font>
      <sz val="11"/>
      <color theme="1"/>
      <name val="Times New Roman"/>
      <family val="1"/>
    </font>
    <font>
      <b/>
      <sz val="12"/>
      <color theme="0"/>
      <name val="Times New Roman"/>
      <family val="1"/>
    </font>
    <font>
      <sz val="12"/>
      <color theme="1"/>
      <name val="Times New Roman"/>
      <family val="1"/>
    </font>
    <font>
      <sz val="11"/>
      <color rgb="FF000000"/>
      <name val="Calibri"/>
      <family val="2"/>
    </font>
    <font>
      <sz val="11"/>
      <color theme="0"/>
      <name val="Times New Roman"/>
      <family val="1"/>
    </font>
    <font>
      <sz val="11"/>
      <name val="Times New Roman"/>
      <family val="1"/>
    </font>
    <font>
      <b/>
      <u/>
      <sz val="11"/>
      <color theme="0"/>
      <name val="Times New Roman"/>
      <family val="1"/>
    </font>
    <font>
      <b/>
      <sz val="12"/>
      <color theme="1"/>
      <name val="Times New Roman"/>
      <family val="1"/>
    </font>
    <font>
      <sz val="12"/>
      <name val="Times New Roman"/>
      <family val="1"/>
    </font>
    <font>
      <b/>
      <u/>
      <sz val="12"/>
      <color theme="0"/>
      <name val="Times New Roman"/>
      <family val="1"/>
    </font>
    <font>
      <sz val="8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4" fillId="0" borderId="1" xfId="0" applyFont="1" applyBorder="1" applyAlignment="1">
      <alignment horizontal="left"/>
    </xf>
    <xf numFmtId="164" fontId="4" fillId="0" borderId="8" xfId="0" applyNumberFormat="1" applyFont="1" applyBorder="1" applyAlignment="1">
      <alignment horizontal="left"/>
    </xf>
    <xf numFmtId="0" fontId="4" fillId="0" borderId="6" xfId="0" applyFont="1" applyBorder="1" applyAlignment="1">
      <alignment horizontal="left"/>
    </xf>
    <xf numFmtId="164" fontId="4" fillId="0" borderId="9" xfId="0" applyNumberFormat="1" applyFont="1" applyBorder="1" applyAlignment="1">
      <alignment horizontal="left"/>
    </xf>
    <xf numFmtId="0" fontId="4" fillId="0" borderId="0" xfId="0" applyFont="1"/>
    <xf numFmtId="0" fontId="4" fillId="0" borderId="5" xfId="0" applyFont="1" applyBorder="1"/>
    <xf numFmtId="165" fontId="4" fillId="0" borderId="5" xfId="2" applyNumberFormat="1" applyFont="1" applyBorder="1"/>
    <xf numFmtId="9" fontId="4" fillId="0" borderId="5" xfId="2" applyFont="1" applyBorder="1"/>
    <xf numFmtId="44" fontId="4" fillId="0" borderId="5" xfId="0" applyNumberFormat="1" applyFont="1" applyBorder="1"/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vertical="center"/>
    </xf>
    <xf numFmtId="0" fontId="6" fillId="0" borderId="0" xfId="0" applyFont="1"/>
    <xf numFmtId="0" fontId="6" fillId="0" borderId="11" xfId="0" applyFont="1" applyBorder="1"/>
    <xf numFmtId="0" fontId="6" fillId="0" borderId="1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44" fontId="6" fillId="0" borderId="0" xfId="0" applyNumberFormat="1" applyFont="1" applyAlignment="1">
      <alignment horizontal="center" vertical="center"/>
    </xf>
    <xf numFmtId="0" fontId="6" fillId="0" borderId="3" xfId="0" applyFont="1" applyBorder="1"/>
    <xf numFmtId="0" fontId="6" fillId="0" borderId="13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0" xfId="0" applyFont="1" applyBorder="1"/>
    <xf numFmtId="0" fontId="4" fillId="0" borderId="8" xfId="0" applyFont="1" applyBorder="1"/>
    <xf numFmtId="0" fontId="4" fillId="0" borderId="12" xfId="0" applyFont="1" applyBorder="1"/>
    <xf numFmtId="0" fontId="4" fillId="0" borderId="13" xfId="0" applyFont="1" applyBorder="1"/>
    <xf numFmtId="0" fontId="4" fillId="0" borderId="14" xfId="0" applyFont="1" applyBorder="1"/>
    <xf numFmtId="0" fontId="4" fillId="0" borderId="3" xfId="0" applyFont="1" applyBorder="1" applyAlignment="1">
      <alignment horizontal="center" vertical="center"/>
    </xf>
    <xf numFmtId="0" fontId="4" fillId="0" borderId="1" xfId="0" applyFont="1" applyBorder="1"/>
    <xf numFmtId="0" fontId="9" fillId="0" borderId="10" xfId="0" applyFont="1" applyBorder="1"/>
    <xf numFmtId="0" fontId="4" fillId="0" borderId="11" xfId="0" applyFont="1" applyBorder="1"/>
    <xf numFmtId="0" fontId="4" fillId="0" borderId="3" xfId="0" applyFont="1" applyBorder="1"/>
    <xf numFmtId="0" fontId="3" fillId="2" borderId="6" xfId="0" applyFont="1" applyFill="1" applyBorder="1" applyAlignment="1">
      <alignment wrapText="1"/>
    </xf>
    <xf numFmtId="0" fontId="10" fillId="5" borderId="6" xfId="0" applyFont="1" applyFill="1" applyBorder="1"/>
    <xf numFmtId="0" fontId="10" fillId="5" borderId="5" xfId="0" applyFont="1" applyFill="1" applyBorder="1"/>
    <xf numFmtId="0" fontId="11" fillId="0" borderId="15" xfId="0" applyFont="1" applyBorder="1" applyAlignment="1">
      <alignment horizontal="center"/>
    </xf>
    <xf numFmtId="0" fontId="12" fillId="0" borderId="0" xfId="1" applyFont="1" applyAlignment="1">
      <alignment horizontal="center"/>
    </xf>
    <xf numFmtId="0" fontId="12" fillId="0" borderId="12" xfId="1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2" fillId="0" borderId="13" xfId="1" applyFont="1" applyBorder="1" applyAlignment="1">
      <alignment horizontal="center"/>
    </xf>
    <xf numFmtId="0" fontId="12" fillId="0" borderId="14" xfId="1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13" fillId="2" borderId="5" xfId="1" applyFont="1" applyFill="1" applyBorder="1" applyAlignment="1">
      <alignment horizontal="center"/>
    </xf>
    <xf numFmtId="0" fontId="13" fillId="2" borderId="7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6" fillId="0" borderId="12" xfId="0" applyFont="1" applyBorder="1"/>
    <xf numFmtId="0" fontId="6" fillId="0" borderId="14" xfId="0" applyFont="1" applyBorder="1"/>
    <xf numFmtId="0" fontId="6" fillId="0" borderId="6" xfId="0" applyFont="1" applyBorder="1"/>
    <xf numFmtId="0" fontId="6" fillId="0" borderId="9" xfId="0" applyFont="1" applyBorder="1"/>
    <xf numFmtId="0" fontId="8" fillId="2" borderId="6" xfId="0" applyFont="1" applyFill="1" applyBorder="1" applyAlignment="1">
      <alignment horizontal="center" wrapText="1"/>
    </xf>
    <xf numFmtId="0" fontId="8" fillId="2" borderId="7" xfId="0" applyFont="1" applyFill="1" applyBorder="1" applyAlignment="1">
      <alignment horizontal="center" wrapText="1"/>
    </xf>
    <xf numFmtId="0" fontId="8" fillId="2" borderId="9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wrapText="1"/>
    </xf>
    <xf numFmtId="0" fontId="3" fillId="2" borderId="7" xfId="0" applyFont="1" applyFill="1" applyBorder="1" applyAlignment="1">
      <alignment horizontal="center" wrapText="1"/>
    </xf>
    <xf numFmtId="0" fontId="3" fillId="2" borderId="9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15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1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44" fontId="4" fillId="0" borderId="0" xfId="0" applyNumberFormat="1" applyFont="1" applyAlignment="1">
      <alignment horizontal="right" vertical="top" wrapText="1"/>
    </xf>
    <xf numFmtId="44" fontId="4" fillId="0" borderId="12" xfId="0" applyNumberFormat="1" applyFont="1" applyBorder="1" applyAlignment="1">
      <alignment horizontal="righ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13" xfId="0" applyFont="1" applyBorder="1" applyAlignment="1">
      <alignment horizontal="left" vertical="top" wrapText="1"/>
    </xf>
    <xf numFmtId="10" fontId="4" fillId="0" borderId="13" xfId="2" applyNumberFormat="1" applyFont="1" applyBorder="1" applyAlignment="1">
      <alignment horizontal="right" vertical="top" wrapText="1"/>
    </xf>
    <xf numFmtId="10" fontId="4" fillId="0" borderId="14" xfId="2" applyNumberFormat="1" applyFont="1" applyBorder="1" applyAlignment="1">
      <alignment horizontal="right" vertical="top" wrapText="1"/>
    </xf>
    <xf numFmtId="0" fontId="3" fillId="3" borderId="1" xfId="0" applyFont="1" applyFill="1" applyBorder="1" applyAlignment="1">
      <alignment horizontal="center" wrapText="1"/>
    </xf>
    <xf numFmtId="0" fontId="3" fillId="3" borderId="10" xfId="0" applyFont="1" applyFill="1" applyBorder="1" applyAlignment="1">
      <alignment horizontal="center" wrapText="1"/>
    </xf>
    <xf numFmtId="0" fontId="3" fillId="3" borderId="8" xfId="0" applyFont="1" applyFill="1" applyBorder="1" applyAlignment="1">
      <alignment horizontal="center" wrapText="1"/>
    </xf>
    <xf numFmtId="0" fontId="4" fillId="0" borderId="1" xfId="0" applyFont="1" applyBorder="1" applyAlignment="1">
      <alignment horizontal="left" vertical="top" wrapText="1"/>
    </xf>
    <xf numFmtId="0" fontId="4" fillId="0" borderId="10" xfId="0" applyFont="1" applyBorder="1" applyAlignment="1">
      <alignment horizontal="left" vertical="top" wrapText="1"/>
    </xf>
    <xf numFmtId="44" fontId="4" fillId="0" borderId="10" xfId="0" applyNumberFormat="1" applyFont="1" applyBorder="1" applyAlignment="1">
      <alignment horizontal="right" vertical="top" wrapText="1"/>
    </xf>
    <xf numFmtId="44" fontId="4" fillId="0" borderId="8" xfId="0" applyNumberFormat="1" applyFont="1" applyBorder="1" applyAlignment="1">
      <alignment horizontal="right" vertical="top" wrapText="1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>
                <a:solidFill>
                  <a:sysClr val="windowText" lastClr="000000"/>
                </a:solidFill>
              </a:rPr>
              <a:t>Average Demand &amp; Ending Inventory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 Demand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'Calculation Page'!$L$3:$L$367</c:f>
              <c:numCache>
                <c:formatCode>General</c:formatCode>
                <c:ptCount val="365"/>
                <c:pt idx="0">
                  <c:v>482</c:v>
                </c:pt>
                <c:pt idx="1">
                  <c:v>903</c:v>
                </c:pt>
                <c:pt idx="2">
                  <c:v>248</c:v>
                </c:pt>
                <c:pt idx="3">
                  <c:v>484</c:v>
                </c:pt>
                <c:pt idx="4">
                  <c:v>851</c:v>
                </c:pt>
                <c:pt idx="5">
                  <c:v>660</c:v>
                </c:pt>
                <c:pt idx="6">
                  <c:v>784</c:v>
                </c:pt>
                <c:pt idx="7">
                  <c:v>317</c:v>
                </c:pt>
                <c:pt idx="8">
                  <c:v>526</c:v>
                </c:pt>
                <c:pt idx="9">
                  <c:v>736</c:v>
                </c:pt>
                <c:pt idx="10">
                  <c:v>970</c:v>
                </c:pt>
                <c:pt idx="11">
                  <c:v>397</c:v>
                </c:pt>
                <c:pt idx="12">
                  <c:v>313</c:v>
                </c:pt>
                <c:pt idx="13">
                  <c:v>948</c:v>
                </c:pt>
                <c:pt idx="14">
                  <c:v>203</c:v>
                </c:pt>
                <c:pt idx="15">
                  <c:v>641</c:v>
                </c:pt>
                <c:pt idx="16">
                  <c:v>306</c:v>
                </c:pt>
                <c:pt idx="17">
                  <c:v>643</c:v>
                </c:pt>
                <c:pt idx="18">
                  <c:v>758</c:v>
                </c:pt>
                <c:pt idx="19">
                  <c:v>422</c:v>
                </c:pt>
                <c:pt idx="20">
                  <c:v>277</c:v>
                </c:pt>
                <c:pt idx="21">
                  <c:v>583</c:v>
                </c:pt>
                <c:pt idx="22">
                  <c:v>418</c:v>
                </c:pt>
                <c:pt idx="23">
                  <c:v>628</c:v>
                </c:pt>
                <c:pt idx="24">
                  <c:v>761</c:v>
                </c:pt>
                <c:pt idx="25">
                  <c:v>364</c:v>
                </c:pt>
                <c:pt idx="26">
                  <c:v>486</c:v>
                </c:pt>
                <c:pt idx="27">
                  <c:v>964</c:v>
                </c:pt>
                <c:pt idx="28">
                  <c:v>284</c:v>
                </c:pt>
                <c:pt idx="29">
                  <c:v>787</c:v>
                </c:pt>
                <c:pt idx="30">
                  <c:v>249</c:v>
                </c:pt>
                <c:pt idx="31">
                  <c:v>609</c:v>
                </c:pt>
                <c:pt idx="32">
                  <c:v>644</c:v>
                </c:pt>
                <c:pt idx="33">
                  <c:v>954</c:v>
                </c:pt>
                <c:pt idx="34">
                  <c:v>854</c:v>
                </c:pt>
                <c:pt idx="35">
                  <c:v>334</c:v>
                </c:pt>
                <c:pt idx="36">
                  <c:v>349</c:v>
                </c:pt>
                <c:pt idx="37">
                  <c:v>597</c:v>
                </c:pt>
                <c:pt idx="38">
                  <c:v>318</c:v>
                </c:pt>
                <c:pt idx="39">
                  <c:v>622</c:v>
                </c:pt>
                <c:pt idx="40">
                  <c:v>575</c:v>
                </c:pt>
                <c:pt idx="41">
                  <c:v>671</c:v>
                </c:pt>
                <c:pt idx="42">
                  <c:v>824</c:v>
                </c:pt>
                <c:pt idx="43">
                  <c:v>488</c:v>
                </c:pt>
                <c:pt idx="44">
                  <c:v>229</c:v>
                </c:pt>
                <c:pt idx="45">
                  <c:v>234</c:v>
                </c:pt>
                <c:pt idx="46">
                  <c:v>569</c:v>
                </c:pt>
                <c:pt idx="47">
                  <c:v>969</c:v>
                </c:pt>
                <c:pt idx="48">
                  <c:v>539</c:v>
                </c:pt>
                <c:pt idx="49">
                  <c:v>584</c:v>
                </c:pt>
                <c:pt idx="50">
                  <c:v>278</c:v>
                </c:pt>
                <c:pt idx="51">
                  <c:v>828</c:v>
                </c:pt>
                <c:pt idx="52">
                  <c:v>669</c:v>
                </c:pt>
                <c:pt idx="53">
                  <c:v>816</c:v>
                </c:pt>
                <c:pt idx="54">
                  <c:v>856</c:v>
                </c:pt>
                <c:pt idx="55">
                  <c:v>754</c:v>
                </c:pt>
                <c:pt idx="56">
                  <c:v>253</c:v>
                </c:pt>
                <c:pt idx="57">
                  <c:v>679</c:v>
                </c:pt>
                <c:pt idx="58">
                  <c:v>767</c:v>
                </c:pt>
                <c:pt idx="59">
                  <c:v>696</c:v>
                </c:pt>
                <c:pt idx="60">
                  <c:v>535</c:v>
                </c:pt>
                <c:pt idx="61">
                  <c:v>959</c:v>
                </c:pt>
                <c:pt idx="62">
                  <c:v>837</c:v>
                </c:pt>
                <c:pt idx="63">
                  <c:v>466</c:v>
                </c:pt>
                <c:pt idx="64">
                  <c:v>519</c:v>
                </c:pt>
                <c:pt idx="65">
                  <c:v>502</c:v>
                </c:pt>
                <c:pt idx="66">
                  <c:v>973</c:v>
                </c:pt>
                <c:pt idx="67">
                  <c:v>500</c:v>
                </c:pt>
                <c:pt idx="68">
                  <c:v>252</c:v>
                </c:pt>
                <c:pt idx="69">
                  <c:v>566</c:v>
                </c:pt>
                <c:pt idx="70">
                  <c:v>508</c:v>
                </c:pt>
                <c:pt idx="71">
                  <c:v>797</c:v>
                </c:pt>
                <c:pt idx="72">
                  <c:v>800</c:v>
                </c:pt>
                <c:pt idx="73">
                  <c:v>407</c:v>
                </c:pt>
                <c:pt idx="74">
                  <c:v>570</c:v>
                </c:pt>
                <c:pt idx="75">
                  <c:v>298</c:v>
                </c:pt>
                <c:pt idx="76">
                  <c:v>476</c:v>
                </c:pt>
                <c:pt idx="77">
                  <c:v>349</c:v>
                </c:pt>
                <c:pt idx="78">
                  <c:v>856</c:v>
                </c:pt>
                <c:pt idx="79">
                  <c:v>233</c:v>
                </c:pt>
                <c:pt idx="80">
                  <c:v>180</c:v>
                </c:pt>
                <c:pt idx="81">
                  <c:v>825</c:v>
                </c:pt>
                <c:pt idx="82">
                  <c:v>823</c:v>
                </c:pt>
                <c:pt idx="83">
                  <c:v>337</c:v>
                </c:pt>
                <c:pt idx="84">
                  <c:v>468</c:v>
                </c:pt>
                <c:pt idx="85">
                  <c:v>215</c:v>
                </c:pt>
                <c:pt idx="86">
                  <c:v>191</c:v>
                </c:pt>
                <c:pt idx="87">
                  <c:v>777</c:v>
                </c:pt>
                <c:pt idx="88">
                  <c:v>198</c:v>
                </c:pt>
                <c:pt idx="89">
                  <c:v>359</c:v>
                </c:pt>
                <c:pt idx="90">
                  <c:v>486</c:v>
                </c:pt>
                <c:pt idx="91">
                  <c:v>602</c:v>
                </c:pt>
                <c:pt idx="92">
                  <c:v>705</c:v>
                </c:pt>
                <c:pt idx="93">
                  <c:v>705</c:v>
                </c:pt>
                <c:pt idx="94">
                  <c:v>784</c:v>
                </c:pt>
                <c:pt idx="95">
                  <c:v>613</c:v>
                </c:pt>
                <c:pt idx="96">
                  <c:v>390</c:v>
                </c:pt>
                <c:pt idx="97">
                  <c:v>301</c:v>
                </c:pt>
                <c:pt idx="98">
                  <c:v>302</c:v>
                </c:pt>
                <c:pt idx="99">
                  <c:v>516</c:v>
                </c:pt>
                <c:pt idx="100">
                  <c:v>750</c:v>
                </c:pt>
                <c:pt idx="101">
                  <c:v>857</c:v>
                </c:pt>
                <c:pt idx="102">
                  <c:v>928</c:v>
                </c:pt>
                <c:pt idx="103">
                  <c:v>940</c:v>
                </c:pt>
                <c:pt idx="104">
                  <c:v>849</c:v>
                </c:pt>
                <c:pt idx="105">
                  <c:v>440</c:v>
                </c:pt>
                <c:pt idx="106">
                  <c:v>339</c:v>
                </c:pt>
                <c:pt idx="107">
                  <c:v>679</c:v>
                </c:pt>
                <c:pt idx="108">
                  <c:v>299</c:v>
                </c:pt>
                <c:pt idx="109">
                  <c:v>379</c:v>
                </c:pt>
                <c:pt idx="110">
                  <c:v>373</c:v>
                </c:pt>
                <c:pt idx="111">
                  <c:v>758</c:v>
                </c:pt>
                <c:pt idx="112">
                  <c:v>246</c:v>
                </c:pt>
                <c:pt idx="113">
                  <c:v>435</c:v>
                </c:pt>
                <c:pt idx="114">
                  <c:v>797</c:v>
                </c:pt>
                <c:pt idx="115">
                  <c:v>273</c:v>
                </c:pt>
                <c:pt idx="116">
                  <c:v>344</c:v>
                </c:pt>
                <c:pt idx="117">
                  <c:v>525</c:v>
                </c:pt>
                <c:pt idx="118">
                  <c:v>408</c:v>
                </c:pt>
                <c:pt idx="119">
                  <c:v>903</c:v>
                </c:pt>
                <c:pt idx="120">
                  <c:v>705</c:v>
                </c:pt>
                <c:pt idx="121">
                  <c:v>932</c:v>
                </c:pt>
                <c:pt idx="122">
                  <c:v>784</c:v>
                </c:pt>
                <c:pt idx="123">
                  <c:v>817</c:v>
                </c:pt>
                <c:pt idx="124">
                  <c:v>477</c:v>
                </c:pt>
                <c:pt idx="125">
                  <c:v>840</c:v>
                </c:pt>
                <c:pt idx="126">
                  <c:v>531</c:v>
                </c:pt>
                <c:pt idx="127">
                  <c:v>436</c:v>
                </c:pt>
                <c:pt idx="128">
                  <c:v>261</c:v>
                </c:pt>
                <c:pt idx="129">
                  <c:v>669</c:v>
                </c:pt>
                <c:pt idx="130">
                  <c:v>654</c:v>
                </c:pt>
                <c:pt idx="131">
                  <c:v>244</c:v>
                </c:pt>
                <c:pt idx="132">
                  <c:v>646</c:v>
                </c:pt>
                <c:pt idx="133">
                  <c:v>878</c:v>
                </c:pt>
                <c:pt idx="134">
                  <c:v>714</c:v>
                </c:pt>
                <c:pt idx="135">
                  <c:v>650</c:v>
                </c:pt>
                <c:pt idx="136">
                  <c:v>703</c:v>
                </c:pt>
                <c:pt idx="137">
                  <c:v>359</c:v>
                </c:pt>
                <c:pt idx="138">
                  <c:v>313</c:v>
                </c:pt>
                <c:pt idx="139">
                  <c:v>814</c:v>
                </c:pt>
                <c:pt idx="140">
                  <c:v>947</c:v>
                </c:pt>
                <c:pt idx="141">
                  <c:v>314</c:v>
                </c:pt>
                <c:pt idx="142">
                  <c:v>178</c:v>
                </c:pt>
                <c:pt idx="143">
                  <c:v>738</c:v>
                </c:pt>
                <c:pt idx="144">
                  <c:v>521</c:v>
                </c:pt>
                <c:pt idx="145">
                  <c:v>497</c:v>
                </c:pt>
                <c:pt idx="146">
                  <c:v>451</c:v>
                </c:pt>
                <c:pt idx="147">
                  <c:v>542</c:v>
                </c:pt>
                <c:pt idx="148">
                  <c:v>943</c:v>
                </c:pt>
                <c:pt idx="149">
                  <c:v>435</c:v>
                </c:pt>
                <c:pt idx="150">
                  <c:v>377</c:v>
                </c:pt>
                <c:pt idx="151">
                  <c:v>851</c:v>
                </c:pt>
                <c:pt idx="152">
                  <c:v>370</c:v>
                </c:pt>
                <c:pt idx="153">
                  <c:v>779</c:v>
                </c:pt>
                <c:pt idx="154">
                  <c:v>372</c:v>
                </c:pt>
                <c:pt idx="155">
                  <c:v>456</c:v>
                </c:pt>
                <c:pt idx="156">
                  <c:v>260</c:v>
                </c:pt>
                <c:pt idx="157">
                  <c:v>866</c:v>
                </c:pt>
                <c:pt idx="158">
                  <c:v>636</c:v>
                </c:pt>
                <c:pt idx="159">
                  <c:v>777</c:v>
                </c:pt>
                <c:pt idx="160">
                  <c:v>331</c:v>
                </c:pt>
                <c:pt idx="161">
                  <c:v>891</c:v>
                </c:pt>
                <c:pt idx="162">
                  <c:v>940</c:v>
                </c:pt>
                <c:pt idx="163">
                  <c:v>876</c:v>
                </c:pt>
                <c:pt idx="164">
                  <c:v>218</c:v>
                </c:pt>
                <c:pt idx="165">
                  <c:v>941</c:v>
                </c:pt>
                <c:pt idx="166">
                  <c:v>253</c:v>
                </c:pt>
                <c:pt idx="167">
                  <c:v>179</c:v>
                </c:pt>
                <c:pt idx="168">
                  <c:v>343</c:v>
                </c:pt>
                <c:pt idx="169">
                  <c:v>449</c:v>
                </c:pt>
                <c:pt idx="170">
                  <c:v>457</c:v>
                </c:pt>
                <c:pt idx="171">
                  <c:v>898</c:v>
                </c:pt>
                <c:pt idx="172">
                  <c:v>712</c:v>
                </c:pt>
                <c:pt idx="173">
                  <c:v>892</c:v>
                </c:pt>
                <c:pt idx="174">
                  <c:v>546</c:v>
                </c:pt>
                <c:pt idx="175">
                  <c:v>295</c:v>
                </c:pt>
                <c:pt idx="176">
                  <c:v>257</c:v>
                </c:pt>
                <c:pt idx="177">
                  <c:v>875</c:v>
                </c:pt>
                <c:pt idx="178">
                  <c:v>342</c:v>
                </c:pt>
                <c:pt idx="179">
                  <c:v>345</c:v>
                </c:pt>
                <c:pt idx="180">
                  <c:v>463</c:v>
                </c:pt>
                <c:pt idx="181">
                  <c:v>873</c:v>
                </c:pt>
                <c:pt idx="182">
                  <c:v>726</c:v>
                </c:pt>
                <c:pt idx="183">
                  <c:v>339</c:v>
                </c:pt>
                <c:pt idx="184">
                  <c:v>289</c:v>
                </c:pt>
                <c:pt idx="185">
                  <c:v>258</c:v>
                </c:pt>
                <c:pt idx="186">
                  <c:v>404</c:v>
                </c:pt>
                <c:pt idx="187">
                  <c:v>308</c:v>
                </c:pt>
                <c:pt idx="188">
                  <c:v>263</c:v>
                </c:pt>
                <c:pt idx="189">
                  <c:v>265</c:v>
                </c:pt>
                <c:pt idx="190">
                  <c:v>509</c:v>
                </c:pt>
                <c:pt idx="191">
                  <c:v>460</c:v>
                </c:pt>
                <c:pt idx="192">
                  <c:v>354</c:v>
                </c:pt>
                <c:pt idx="193">
                  <c:v>923</c:v>
                </c:pt>
                <c:pt idx="194">
                  <c:v>671</c:v>
                </c:pt>
                <c:pt idx="195">
                  <c:v>209</c:v>
                </c:pt>
                <c:pt idx="196">
                  <c:v>631</c:v>
                </c:pt>
                <c:pt idx="197">
                  <c:v>504</c:v>
                </c:pt>
                <c:pt idx="198">
                  <c:v>236</c:v>
                </c:pt>
                <c:pt idx="199">
                  <c:v>794</c:v>
                </c:pt>
                <c:pt idx="200">
                  <c:v>244</c:v>
                </c:pt>
                <c:pt idx="201">
                  <c:v>677</c:v>
                </c:pt>
                <c:pt idx="202">
                  <c:v>395</c:v>
                </c:pt>
                <c:pt idx="203">
                  <c:v>421</c:v>
                </c:pt>
                <c:pt idx="204">
                  <c:v>429</c:v>
                </c:pt>
                <c:pt idx="205">
                  <c:v>883</c:v>
                </c:pt>
                <c:pt idx="206">
                  <c:v>467</c:v>
                </c:pt>
                <c:pt idx="207">
                  <c:v>233</c:v>
                </c:pt>
                <c:pt idx="208">
                  <c:v>725</c:v>
                </c:pt>
                <c:pt idx="209">
                  <c:v>321</c:v>
                </c:pt>
                <c:pt idx="210">
                  <c:v>882</c:v>
                </c:pt>
                <c:pt idx="211">
                  <c:v>265</c:v>
                </c:pt>
                <c:pt idx="212">
                  <c:v>442</c:v>
                </c:pt>
                <c:pt idx="213">
                  <c:v>766</c:v>
                </c:pt>
                <c:pt idx="214">
                  <c:v>729</c:v>
                </c:pt>
                <c:pt idx="215">
                  <c:v>908</c:v>
                </c:pt>
                <c:pt idx="216">
                  <c:v>957</c:v>
                </c:pt>
                <c:pt idx="217">
                  <c:v>615</c:v>
                </c:pt>
                <c:pt idx="218">
                  <c:v>587</c:v>
                </c:pt>
                <c:pt idx="219">
                  <c:v>853</c:v>
                </c:pt>
                <c:pt idx="220">
                  <c:v>527</c:v>
                </c:pt>
                <c:pt idx="221">
                  <c:v>434</c:v>
                </c:pt>
                <c:pt idx="222">
                  <c:v>403</c:v>
                </c:pt>
                <c:pt idx="223">
                  <c:v>418</c:v>
                </c:pt>
                <c:pt idx="224">
                  <c:v>593</c:v>
                </c:pt>
                <c:pt idx="225">
                  <c:v>411</c:v>
                </c:pt>
                <c:pt idx="226">
                  <c:v>753</c:v>
                </c:pt>
                <c:pt idx="227">
                  <c:v>388</c:v>
                </c:pt>
                <c:pt idx="228">
                  <c:v>962</c:v>
                </c:pt>
                <c:pt idx="229">
                  <c:v>804</c:v>
                </c:pt>
                <c:pt idx="230">
                  <c:v>931</c:v>
                </c:pt>
                <c:pt idx="231">
                  <c:v>972</c:v>
                </c:pt>
                <c:pt idx="232">
                  <c:v>710</c:v>
                </c:pt>
                <c:pt idx="233">
                  <c:v>698</c:v>
                </c:pt>
                <c:pt idx="234">
                  <c:v>506</c:v>
                </c:pt>
                <c:pt idx="235">
                  <c:v>589</c:v>
                </c:pt>
                <c:pt idx="236">
                  <c:v>839</c:v>
                </c:pt>
                <c:pt idx="237">
                  <c:v>695</c:v>
                </c:pt>
                <c:pt idx="238">
                  <c:v>263</c:v>
                </c:pt>
                <c:pt idx="239">
                  <c:v>222</c:v>
                </c:pt>
                <c:pt idx="240">
                  <c:v>783</c:v>
                </c:pt>
                <c:pt idx="241">
                  <c:v>556</c:v>
                </c:pt>
                <c:pt idx="242">
                  <c:v>886</c:v>
                </c:pt>
                <c:pt idx="243">
                  <c:v>717</c:v>
                </c:pt>
                <c:pt idx="244">
                  <c:v>946</c:v>
                </c:pt>
                <c:pt idx="245">
                  <c:v>577</c:v>
                </c:pt>
                <c:pt idx="246">
                  <c:v>365</c:v>
                </c:pt>
                <c:pt idx="247">
                  <c:v>778</c:v>
                </c:pt>
                <c:pt idx="248">
                  <c:v>532</c:v>
                </c:pt>
                <c:pt idx="249">
                  <c:v>329</c:v>
                </c:pt>
                <c:pt idx="250">
                  <c:v>330</c:v>
                </c:pt>
                <c:pt idx="251">
                  <c:v>368</c:v>
                </c:pt>
                <c:pt idx="252">
                  <c:v>793</c:v>
                </c:pt>
                <c:pt idx="253">
                  <c:v>910</c:v>
                </c:pt>
                <c:pt idx="254">
                  <c:v>828</c:v>
                </c:pt>
                <c:pt idx="255">
                  <c:v>739</c:v>
                </c:pt>
                <c:pt idx="256">
                  <c:v>758</c:v>
                </c:pt>
                <c:pt idx="257">
                  <c:v>270</c:v>
                </c:pt>
                <c:pt idx="258">
                  <c:v>840</c:v>
                </c:pt>
                <c:pt idx="259">
                  <c:v>258</c:v>
                </c:pt>
                <c:pt idx="260">
                  <c:v>824</c:v>
                </c:pt>
                <c:pt idx="261">
                  <c:v>571</c:v>
                </c:pt>
                <c:pt idx="262">
                  <c:v>561</c:v>
                </c:pt>
                <c:pt idx="263">
                  <c:v>547</c:v>
                </c:pt>
                <c:pt idx="264">
                  <c:v>776</c:v>
                </c:pt>
                <c:pt idx="265">
                  <c:v>964</c:v>
                </c:pt>
                <c:pt idx="266">
                  <c:v>595</c:v>
                </c:pt>
                <c:pt idx="267">
                  <c:v>698</c:v>
                </c:pt>
                <c:pt idx="268">
                  <c:v>657</c:v>
                </c:pt>
                <c:pt idx="269">
                  <c:v>898</c:v>
                </c:pt>
                <c:pt idx="270">
                  <c:v>792</c:v>
                </c:pt>
                <c:pt idx="271">
                  <c:v>381</c:v>
                </c:pt>
                <c:pt idx="272">
                  <c:v>556</c:v>
                </c:pt>
                <c:pt idx="273">
                  <c:v>362</c:v>
                </c:pt>
                <c:pt idx="274">
                  <c:v>223</c:v>
                </c:pt>
                <c:pt idx="275">
                  <c:v>600</c:v>
                </c:pt>
                <c:pt idx="276">
                  <c:v>396</c:v>
                </c:pt>
                <c:pt idx="277">
                  <c:v>908</c:v>
                </c:pt>
                <c:pt idx="278">
                  <c:v>927</c:v>
                </c:pt>
                <c:pt idx="279">
                  <c:v>340</c:v>
                </c:pt>
                <c:pt idx="280">
                  <c:v>478</c:v>
                </c:pt>
                <c:pt idx="281">
                  <c:v>960</c:v>
                </c:pt>
                <c:pt idx="282">
                  <c:v>794</c:v>
                </c:pt>
                <c:pt idx="283">
                  <c:v>753</c:v>
                </c:pt>
                <c:pt idx="284">
                  <c:v>282</c:v>
                </c:pt>
                <c:pt idx="285">
                  <c:v>494</c:v>
                </c:pt>
                <c:pt idx="286">
                  <c:v>648</c:v>
                </c:pt>
                <c:pt idx="287">
                  <c:v>474</c:v>
                </c:pt>
                <c:pt idx="288">
                  <c:v>774</c:v>
                </c:pt>
                <c:pt idx="289">
                  <c:v>458</c:v>
                </c:pt>
                <c:pt idx="290">
                  <c:v>617</c:v>
                </c:pt>
                <c:pt idx="291">
                  <c:v>478</c:v>
                </c:pt>
                <c:pt idx="292">
                  <c:v>356</c:v>
                </c:pt>
                <c:pt idx="293">
                  <c:v>537</c:v>
                </c:pt>
                <c:pt idx="294">
                  <c:v>764</c:v>
                </c:pt>
                <c:pt idx="295">
                  <c:v>237</c:v>
                </c:pt>
                <c:pt idx="296">
                  <c:v>574</c:v>
                </c:pt>
                <c:pt idx="297">
                  <c:v>378</c:v>
                </c:pt>
                <c:pt idx="298">
                  <c:v>616</c:v>
                </c:pt>
                <c:pt idx="299">
                  <c:v>560</c:v>
                </c:pt>
                <c:pt idx="300">
                  <c:v>360</c:v>
                </c:pt>
                <c:pt idx="301">
                  <c:v>857</c:v>
                </c:pt>
                <c:pt idx="302">
                  <c:v>394</c:v>
                </c:pt>
                <c:pt idx="303">
                  <c:v>890</c:v>
                </c:pt>
                <c:pt idx="304">
                  <c:v>443</c:v>
                </c:pt>
                <c:pt idx="305">
                  <c:v>239</c:v>
                </c:pt>
                <c:pt idx="306">
                  <c:v>632</c:v>
                </c:pt>
                <c:pt idx="307">
                  <c:v>422</c:v>
                </c:pt>
                <c:pt idx="308">
                  <c:v>547</c:v>
                </c:pt>
                <c:pt idx="309">
                  <c:v>728</c:v>
                </c:pt>
                <c:pt idx="310">
                  <c:v>850</c:v>
                </c:pt>
                <c:pt idx="311">
                  <c:v>279</c:v>
                </c:pt>
                <c:pt idx="312">
                  <c:v>509</c:v>
                </c:pt>
                <c:pt idx="313">
                  <c:v>955</c:v>
                </c:pt>
                <c:pt idx="314">
                  <c:v>727</c:v>
                </c:pt>
                <c:pt idx="315">
                  <c:v>901</c:v>
                </c:pt>
                <c:pt idx="316">
                  <c:v>626</c:v>
                </c:pt>
                <c:pt idx="317">
                  <c:v>750</c:v>
                </c:pt>
                <c:pt idx="318">
                  <c:v>641</c:v>
                </c:pt>
                <c:pt idx="319">
                  <c:v>720</c:v>
                </c:pt>
                <c:pt idx="320">
                  <c:v>610</c:v>
                </c:pt>
                <c:pt idx="321">
                  <c:v>820</c:v>
                </c:pt>
                <c:pt idx="322">
                  <c:v>915</c:v>
                </c:pt>
                <c:pt idx="323">
                  <c:v>823</c:v>
                </c:pt>
                <c:pt idx="324">
                  <c:v>743</c:v>
                </c:pt>
                <c:pt idx="325">
                  <c:v>643</c:v>
                </c:pt>
                <c:pt idx="326">
                  <c:v>621</c:v>
                </c:pt>
                <c:pt idx="327">
                  <c:v>871</c:v>
                </c:pt>
                <c:pt idx="328">
                  <c:v>561</c:v>
                </c:pt>
                <c:pt idx="329">
                  <c:v>881</c:v>
                </c:pt>
                <c:pt idx="330">
                  <c:v>271</c:v>
                </c:pt>
                <c:pt idx="331">
                  <c:v>824</c:v>
                </c:pt>
                <c:pt idx="332">
                  <c:v>482</c:v>
                </c:pt>
                <c:pt idx="333">
                  <c:v>790</c:v>
                </c:pt>
                <c:pt idx="334">
                  <c:v>221</c:v>
                </c:pt>
                <c:pt idx="335">
                  <c:v>580</c:v>
                </c:pt>
                <c:pt idx="336">
                  <c:v>312</c:v>
                </c:pt>
                <c:pt idx="337">
                  <c:v>313</c:v>
                </c:pt>
                <c:pt idx="338">
                  <c:v>793</c:v>
                </c:pt>
                <c:pt idx="339">
                  <c:v>473</c:v>
                </c:pt>
                <c:pt idx="340">
                  <c:v>440</c:v>
                </c:pt>
                <c:pt idx="341">
                  <c:v>415</c:v>
                </c:pt>
                <c:pt idx="342">
                  <c:v>881</c:v>
                </c:pt>
                <c:pt idx="343">
                  <c:v>802</c:v>
                </c:pt>
                <c:pt idx="344">
                  <c:v>230</c:v>
                </c:pt>
                <c:pt idx="345">
                  <c:v>781</c:v>
                </c:pt>
                <c:pt idx="346">
                  <c:v>385</c:v>
                </c:pt>
                <c:pt idx="347">
                  <c:v>341</c:v>
                </c:pt>
                <c:pt idx="348">
                  <c:v>681</c:v>
                </c:pt>
                <c:pt idx="349">
                  <c:v>904</c:v>
                </c:pt>
                <c:pt idx="350">
                  <c:v>570</c:v>
                </c:pt>
                <c:pt idx="351">
                  <c:v>738</c:v>
                </c:pt>
                <c:pt idx="352">
                  <c:v>362</c:v>
                </c:pt>
                <c:pt idx="353">
                  <c:v>766</c:v>
                </c:pt>
                <c:pt idx="354">
                  <c:v>825</c:v>
                </c:pt>
                <c:pt idx="355">
                  <c:v>545</c:v>
                </c:pt>
                <c:pt idx="356">
                  <c:v>499</c:v>
                </c:pt>
                <c:pt idx="357">
                  <c:v>829</c:v>
                </c:pt>
                <c:pt idx="358">
                  <c:v>971</c:v>
                </c:pt>
                <c:pt idx="359">
                  <c:v>736</c:v>
                </c:pt>
                <c:pt idx="360">
                  <c:v>893</c:v>
                </c:pt>
                <c:pt idx="361">
                  <c:v>785</c:v>
                </c:pt>
                <c:pt idx="362">
                  <c:v>777</c:v>
                </c:pt>
                <c:pt idx="363">
                  <c:v>208</c:v>
                </c:pt>
                <c:pt idx="364">
                  <c:v>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D5-4F5B-8E7D-65DCF412048D}"/>
            </c:ext>
          </c:extLst>
        </c:ser>
        <c:ser>
          <c:idx val="1"/>
          <c:order val="1"/>
          <c:tx>
            <c:v>Ending Inventory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'Calculation Page'!$M$3:$M$367</c:f>
              <c:numCache>
                <c:formatCode>General</c:formatCode>
                <c:ptCount val="365"/>
                <c:pt idx="0">
                  <c:v>1018</c:v>
                </c:pt>
                <c:pt idx="1">
                  <c:v>115</c:v>
                </c:pt>
                <c:pt idx="2">
                  <c:v>4867</c:v>
                </c:pt>
                <c:pt idx="3">
                  <c:v>4383</c:v>
                </c:pt>
                <c:pt idx="4">
                  <c:v>3532</c:v>
                </c:pt>
                <c:pt idx="5">
                  <c:v>2872</c:v>
                </c:pt>
                <c:pt idx="6">
                  <c:v>2088</c:v>
                </c:pt>
                <c:pt idx="7">
                  <c:v>1771</c:v>
                </c:pt>
                <c:pt idx="8">
                  <c:v>1245</c:v>
                </c:pt>
                <c:pt idx="9">
                  <c:v>509</c:v>
                </c:pt>
                <c:pt idx="10">
                  <c:v>0</c:v>
                </c:pt>
                <c:pt idx="11">
                  <c:v>4603</c:v>
                </c:pt>
                <c:pt idx="12">
                  <c:v>4290</c:v>
                </c:pt>
                <c:pt idx="13">
                  <c:v>3342</c:v>
                </c:pt>
                <c:pt idx="14">
                  <c:v>3139</c:v>
                </c:pt>
                <c:pt idx="15">
                  <c:v>2498</c:v>
                </c:pt>
                <c:pt idx="16">
                  <c:v>2192</c:v>
                </c:pt>
                <c:pt idx="17">
                  <c:v>1549</c:v>
                </c:pt>
                <c:pt idx="18">
                  <c:v>791</c:v>
                </c:pt>
                <c:pt idx="19">
                  <c:v>369</c:v>
                </c:pt>
                <c:pt idx="20">
                  <c:v>92</c:v>
                </c:pt>
                <c:pt idx="21">
                  <c:v>4509</c:v>
                </c:pt>
                <c:pt idx="22">
                  <c:v>4091</c:v>
                </c:pt>
                <c:pt idx="23">
                  <c:v>3463</c:v>
                </c:pt>
                <c:pt idx="24">
                  <c:v>2702</c:v>
                </c:pt>
                <c:pt idx="25">
                  <c:v>2338</c:v>
                </c:pt>
                <c:pt idx="26">
                  <c:v>1852</c:v>
                </c:pt>
                <c:pt idx="27">
                  <c:v>888</c:v>
                </c:pt>
                <c:pt idx="28">
                  <c:v>604</c:v>
                </c:pt>
                <c:pt idx="29">
                  <c:v>0</c:v>
                </c:pt>
                <c:pt idx="30">
                  <c:v>4751</c:v>
                </c:pt>
                <c:pt idx="31">
                  <c:v>4142</c:v>
                </c:pt>
                <c:pt idx="32">
                  <c:v>3498</c:v>
                </c:pt>
                <c:pt idx="33">
                  <c:v>2544</c:v>
                </c:pt>
                <c:pt idx="34">
                  <c:v>1690</c:v>
                </c:pt>
                <c:pt idx="35">
                  <c:v>1356</c:v>
                </c:pt>
                <c:pt idx="36">
                  <c:v>1007</c:v>
                </c:pt>
                <c:pt idx="37">
                  <c:v>410</c:v>
                </c:pt>
                <c:pt idx="38">
                  <c:v>92</c:v>
                </c:pt>
                <c:pt idx="39">
                  <c:v>4470</c:v>
                </c:pt>
                <c:pt idx="40">
                  <c:v>3895</c:v>
                </c:pt>
                <c:pt idx="41">
                  <c:v>3224</c:v>
                </c:pt>
                <c:pt idx="42">
                  <c:v>2400</c:v>
                </c:pt>
                <c:pt idx="43">
                  <c:v>1912</c:v>
                </c:pt>
                <c:pt idx="44">
                  <c:v>1683</c:v>
                </c:pt>
                <c:pt idx="45">
                  <c:v>1449</c:v>
                </c:pt>
                <c:pt idx="46">
                  <c:v>880</c:v>
                </c:pt>
                <c:pt idx="47">
                  <c:v>0</c:v>
                </c:pt>
                <c:pt idx="48">
                  <c:v>4461</c:v>
                </c:pt>
                <c:pt idx="49">
                  <c:v>3877</c:v>
                </c:pt>
                <c:pt idx="50">
                  <c:v>3599</c:v>
                </c:pt>
                <c:pt idx="51">
                  <c:v>2771</c:v>
                </c:pt>
                <c:pt idx="52">
                  <c:v>2102</c:v>
                </c:pt>
                <c:pt idx="53">
                  <c:v>1286</c:v>
                </c:pt>
                <c:pt idx="54">
                  <c:v>430</c:v>
                </c:pt>
                <c:pt idx="55">
                  <c:v>0</c:v>
                </c:pt>
                <c:pt idx="56">
                  <c:v>4747</c:v>
                </c:pt>
                <c:pt idx="57">
                  <c:v>4068</c:v>
                </c:pt>
                <c:pt idx="58">
                  <c:v>3301</c:v>
                </c:pt>
                <c:pt idx="59">
                  <c:v>2605</c:v>
                </c:pt>
                <c:pt idx="60">
                  <c:v>2070</c:v>
                </c:pt>
                <c:pt idx="61">
                  <c:v>1111</c:v>
                </c:pt>
                <c:pt idx="62">
                  <c:v>274</c:v>
                </c:pt>
                <c:pt idx="63">
                  <c:v>4808</c:v>
                </c:pt>
                <c:pt idx="64">
                  <c:v>4289</c:v>
                </c:pt>
                <c:pt idx="65">
                  <c:v>3787</c:v>
                </c:pt>
                <c:pt idx="66">
                  <c:v>2814</c:v>
                </c:pt>
                <c:pt idx="67">
                  <c:v>2314</c:v>
                </c:pt>
                <c:pt idx="68">
                  <c:v>2062</c:v>
                </c:pt>
                <c:pt idx="69">
                  <c:v>1496</c:v>
                </c:pt>
                <c:pt idx="70">
                  <c:v>988</c:v>
                </c:pt>
                <c:pt idx="71">
                  <c:v>191</c:v>
                </c:pt>
                <c:pt idx="72">
                  <c:v>4391</c:v>
                </c:pt>
                <c:pt idx="73">
                  <c:v>3984</c:v>
                </c:pt>
                <c:pt idx="74">
                  <c:v>3414</c:v>
                </c:pt>
                <c:pt idx="75">
                  <c:v>3116</c:v>
                </c:pt>
                <c:pt idx="76">
                  <c:v>2640</c:v>
                </c:pt>
                <c:pt idx="77">
                  <c:v>2291</c:v>
                </c:pt>
                <c:pt idx="78">
                  <c:v>1435</c:v>
                </c:pt>
                <c:pt idx="79">
                  <c:v>1202</c:v>
                </c:pt>
                <c:pt idx="80">
                  <c:v>1022</c:v>
                </c:pt>
                <c:pt idx="81">
                  <c:v>197</c:v>
                </c:pt>
                <c:pt idx="82">
                  <c:v>4374</c:v>
                </c:pt>
                <c:pt idx="83">
                  <c:v>4037</c:v>
                </c:pt>
                <c:pt idx="84">
                  <c:v>3569</c:v>
                </c:pt>
                <c:pt idx="85">
                  <c:v>3354</c:v>
                </c:pt>
                <c:pt idx="86">
                  <c:v>3163</c:v>
                </c:pt>
                <c:pt idx="87">
                  <c:v>2386</c:v>
                </c:pt>
                <c:pt idx="88">
                  <c:v>2188</c:v>
                </c:pt>
                <c:pt idx="89">
                  <c:v>1829</c:v>
                </c:pt>
                <c:pt idx="90">
                  <c:v>1343</c:v>
                </c:pt>
                <c:pt idx="91">
                  <c:v>741</c:v>
                </c:pt>
                <c:pt idx="92">
                  <c:v>36</c:v>
                </c:pt>
                <c:pt idx="93">
                  <c:v>4331</c:v>
                </c:pt>
                <c:pt idx="94">
                  <c:v>3547</c:v>
                </c:pt>
                <c:pt idx="95">
                  <c:v>2934</c:v>
                </c:pt>
                <c:pt idx="96">
                  <c:v>2544</c:v>
                </c:pt>
                <c:pt idx="97">
                  <c:v>2243</c:v>
                </c:pt>
                <c:pt idx="98">
                  <c:v>1941</c:v>
                </c:pt>
                <c:pt idx="99">
                  <c:v>1425</c:v>
                </c:pt>
                <c:pt idx="100">
                  <c:v>675</c:v>
                </c:pt>
                <c:pt idx="101">
                  <c:v>0</c:v>
                </c:pt>
                <c:pt idx="102">
                  <c:v>4072</c:v>
                </c:pt>
                <c:pt idx="103">
                  <c:v>3132</c:v>
                </c:pt>
                <c:pt idx="104">
                  <c:v>2283</c:v>
                </c:pt>
                <c:pt idx="105">
                  <c:v>1843</c:v>
                </c:pt>
                <c:pt idx="106">
                  <c:v>1504</c:v>
                </c:pt>
                <c:pt idx="107">
                  <c:v>825</c:v>
                </c:pt>
                <c:pt idx="108">
                  <c:v>526</c:v>
                </c:pt>
                <c:pt idx="109">
                  <c:v>147</c:v>
                </c:pt>
                <c:pt idx="110">
                  <c:v>4774</c:v>
                </c:pt>
                <c:pt idx="111">
                  <c:v>4016</c:v>
                </c:pt>
                <c:pt idx="112">
                  <c:v>3770</c:v>
                </c:pt>
                <c:pt idx="113">
                  <c:v>3335</c:v>
                </c:pt>
                <c:pt idx="114">
                  <c:v>2538</c:v>
                </c:pt>
                <c:pt idx="115">
                  <c:v>2265</c:v>
                </c:pt>
                <c:pt idx="116">
                  <c:v>1921</c:v>
                </c:pt>
                <c:pt idx="117">
                  <c:v>1396</c:v>
                </c:pt>
                <c:pt idx="118">
                  <c:v>988</c:v>
                </c:pt>
                <c:pt idx="119">
                  <c:v>85</c:v>
                </c:pt>
                <c:pt idx="120">
                  <c:v>4380</c:v>
                </c:pt>
                <c:pt idx="121">
                  <c:v>3448</c:v>
                </c:pt>
                <c:pt idx="122">
                  <c:v>2664</c:v>
                </c:pt>
                <c:pt idx="123">
                  <c:v>1847</c:v>
                </c:pt>
                <c:pt idx="124">
                  <c:v>1370</c:v>
                </c:pt>
                <c:pt idx="125">
                  <c:v>530</c:v>
                </c:pt>
                <c:pt idx="126">
                  <c:v>0</c:v>
                </c:pt>
                <c:pt idx="127">
                  <c:v>4564</c:v>
                </c:pt>
                <c:pt idx="128">
                  <c:v>4303</c:v>
                </c:pt>
                <c:pt idx="129">
                  <c:v>3634</c:v>
                </c:pt>
                <c:pt idx="130">
                  <c:v>2980</c:v>
                </c:pt>
                <c:pt idx="131">
                  <c:v>2736</c:v>
                </c:pt>
                <c:pt idx="132">
                  <c:v>2090</c:v>
                </c:pt>
                <c:pt idx="133">
                  <c:v>1212</c:v>
                </c:pt>
                <c:pt idx="134">
                  <c:v>498</c:v>
                </c:pt>
                <c:pt idx="135">
                  <c:v>0</c:v>
                </c:pt>
                <c:pt idx="136">
                  <c:v>4297</c:v>
                </c:pt>
                <c:pt idx="137">
                  <c:v>3938</c:v>
                </c:pt>
                <c:pt idx="138">
                  <c:v>3625</c:v>
                </c:pt>
                <c:pt idx="139">
                  <c:v>2811</c:v>
                </c:pt>
                <c:pt idx="140">
                  <c:v>1864</c:v>
                </c:pt>
                <c:pt idx="141">
                  <c:v>1550</c:v>
                </c:pt>
                <c:pt idx="142">
                  <c:v>1372</c:v>
                </c:pt>
                <c:pt idx="143">
                  <c:v>634</c:v>
                </c:pt>
                <c:pt idx="144">
                  <c:v>113</c:v>
                </c:pt>
                <c:pt idx="145">
                  <c:v>4616</c:v>
                </c:pt>
                <c:pt idx="146">
                  <c:v>4165</c:v>
                </c:pt>
                <c:pt idx="147">
                  <c:v>3623</c:v>
                </c:pt>
                <c:pt idx="148">
                  <c:v>2680</c:v>
                </c:pt>
                <c:pt idx="149">
                  <c:v>2245</c:v>
                </c:pt>
                <c:pt idx="150">
                  <c:v>1868</c:v>
                </c:pt>
                <c:pt idx="151">
                  <c:v>1017</c:v>
                </c:pt>
                <c:pt idx="152">
                  <c:v>647</c:v>
                </c:pt>
                <c:pt idx="153">
                  <c:v>0</c:v>
                </c:pt>
                <c:pt idx="154">
                  <c:v>4628</c:v>
                </c:pt>
                <c:pt idx="155">
                  <c:v>4172</c:v>
                </c:pt>
                <c:pt idx="156">
                  <c:v>3912</c:v>
                </c:pt>
                <c:pt idx="157">
                  <c:v>3046</c:v>
                </c:pt>
                <c:pt idx="158">
                  <c:v>2410</c:v>
                </c:pt>
                <c:pt idx="159">
                  <c:v>1633</c:v>
                </c:pt>
                <c:pt idx="160">
                  <c:v>1302</c:v>
                </c:pt>
                <c:pt idx="161">
                  <c:v>411</c:v>
                </c:pt>
                <c:pt idx="162">
                  <c:v>0</c:v>
                </c:pt>
                <c:pt idx="163">
                  <c:v>4124</c:v>
                </c:pt>
                <c:pt idx="164">
                  <c:v>3906</c:v>
                </c:pt>
                <c:pt idx="165">
                  <c:v>2965</c:v>
                </c:pt>
                <c:pt idx="166">
                  <c:v>2712</c:v>
                </c:pt>
                <c:pt idx="167">
                  <c:v>2533</c:v>
                </c:pt>
                <c:pt idx="168">
                  <c:v>2190</c:v>
                </c:pt>
                <c:pt idx="169">
                  <c:v>1741</c:v>
                </c:pt>
                <c:pt idx="170">
                  <c:v>1284</c:v>
                </c:pt>
                <c:pt idx="171">
                  <c:v>386</c:v>
                </c:pt>
                <c:pt idx="172">
                  <c:v>0</c:v>
                </c:pt>
                <c:pt idx="173">
                  <c:v>4108</c:v>
                </c:pt>
                <c:pt idx="174">
                  <c:v>3562</c:v>
                </c:pt>
                <c:pt idx="175">
                  <c:v>3267</c:v>
                </c:pt>
                <c:pt idx="176">
                  <c:v>3010</c:v>
                </c:pt>
                <c:pt idx="177">
                  <c:v>2135</c:v>
                </c:pt>
                <c:pt idx="178">
                  <c:v>1793</c:v>
                </c:pt>
                <c:pt idx="179">
                  <c:v>1448</c:v>
                </c:pt>
                <c:pt idx="180">
                  <c:v>985</c:v>
                </c:pt>
                <c:pt idx="181">
                  <c:v>112</c:v>
                </c:pt>
                <c:pt idx="182">
                  <c:v>4386</c:v>
                </c:pt>
                <c:pt idx="183">
                  <c:v>4047</c:v>
                </c:pt>
                <c:pt idx="184">
                  <c:v>3758</c:v>
                </c:pt>
                <c:pt idx="185">
                  <c:v>3500</c:v>
                </c:pt>
                <c:pt idx="186">
                  <c:v>3096</c:v>
                </c:pt>
                <c:pt idx="187">
                  <c:v>2788</c:v>
                </c:pt>
                <c:pt idx="188">
                  <c:v>2525</c:v>
                </c:pt>
                <c:pt idx="189">
                  <c:v>2260</c:v>
                </c:pt>
                <c:pt idx="190">
                  <c:v>1751</c:v>
                </c:pt>
                <c:pt idx="191">
                  <c:v>1291</c:v>
                </c:pt>
                <c:pt idx="192">
                  <c:v>937</c:v>
                </c:pt>
                <c:pt idx="193">
                  <c:v>14</c:v>
                </c:pt>
                <c:pt idx="194">
                  <c:v>4343</c:v>
                </c:pt>
                <c:pt idx="195">
                  <c:v>4134</c:v>
                </c:pt>
                <c:pt idx="196">
                  <c:v>3503</c:v>
                </c:pt>
                <c:pt idx="197">
                  <c:v>2999</c:v>
                </c:pt>
                <c:pt idx="198">
                  <c:v>2763</c:v>
                </c:pt>
                <c:pt idx="199">
                  <c:v>1969</c:v>
                </c:pt>
                <c:pt idx="200">
                  <c:v>1725</c:v>
                </c:pt>
                <c:pt idx="201">
                  <c:v>1048</c:v>
                </c:pt>
                <c:pt idx="202">
                  <c:v>653</c:v>
                </c:pt>
                <c:pt idx="203">
                  <c:v>232</c:v>
                </c:pt>
                <c:pt idx="204">
                  <c:v>4803</c:v>
                </c:pt>
                <c:pt idx="205">
                  <c:v>3920</c:v>
                </c:pt>
                <c:pt idx="206">
                  <c:v>3453</c:v>
                </c:pt>
                <c:pt idx="207">
                  <c:v>3220</c:v>
                </c:pt>
                <c:pt idx="208">
                  <c:v>2495</c:v>
                </c:pt>
                <c:pt idx="209">
                  <c:v>2174</c:v>
                </c:pt>
                <c:pt idx="210">
                  <c:v>1292</c:v>
                </c:pt>
                <c:pt idx="211">
                  <c:v>1027</c:v>
                </c:pt>
                <c:pt idx="212">
                  <c:v>585</c:v>
                </c:pt>
                <c:pt idx="213">
                  <c:v>0</c:v>
                </c:pt>
                <c:pt idx="214">
                  <c:v>4271</c:v>
                </c:pt>
                <c:pt idx="215">
                  <c:v>3363</c:v>
                </c:pt>
                <c:pt idx="216">
                  <c:v>2406</c:v>
                </c:pt>
                <c:pt idx="217">
                  <c:v>1791</c:v>
                </c:pt>
                <c:pt idx="218">
                  <c:v>1204</c:v>
                </c:pt>
                <c:pt idx="219">
                  <c:v>351</c:v>
                </c:pt>
                <c:pt idx="220">
                  <c:v>0</c:v>
                </c:pt>
                <c:pt idx="221">
                  <c:v>4566</c:v>
                </c:pt>
                <c:pt idx="222">
                  <c:v>4163</c:v>
                </c:pt>
                <c:pt idx="223">
                  <c:v>3745</c:v>
                </c:pt>
                <c:pt idx="224">
                  <c:v>3152</c:v>
                </c:pt>
                <c:pt idx="225">
                  <c:v>2741</c:v>
                </c:pt>
                <c:pt idx="226">
                  <c:v>1988</c:v>
                </c:pt>
                <c:pt idx="227">
                  <c:v>1600</c:v>
                </c:pt>
                <c:pt idx="228">
                  <c:v>638</c:v>
                </c:pt>
                <c:pt idx="229">
                  <c:v>0</c:v>
                </c:pt>
                <c:pt idx="230">
                  <c:v>4069</c:v>
                </c:pt>
                <c:pt idx="231">
                  <c:v>3097</c:v>
                </c:pt>
                <c:pt idx="232">
                  <c:v>2387</c:v>
                </c:pt>
                <c:pt idx="233">
                  <c:v>1689</c:v>
                </c:pt>
                <c:pt idx="234">
                  <c:v>1183</c:v>
                </c:pt>
                <c:pt idx="235">
                  <c:v>594</c:v>
                </c:pt>
                <c:pt idx="236">
                  <c:v>0</c:v>
                </c:pt>
                <c:pt idx="237">
                  <c:v>4305</c:v>
                </c:pt>
                <c:pt idx="238">
                  <c:v>4042</c:v>
                </c:pt>
                <c:pt idx="239">
                  <c:v>3820</c:v>
                </c:pt>
                <c:pt idx="240">
                  <c:v>3037</c:v>
                </c:pt>
                <c:pt idx="241">
                  <c:v>2481</c:v>
                </c:pt>
                <c:pt idx="242">
                  <c:v>1595</c:v>
                </c:pt>
                <c:pt idx="243">
                  <c:v>878</c:v>
                </c:pt>
                <c:pt idx="244">
                  <c:v>0</c:v>
                </c:pt>
                <c:pt idx="245">
                  <c:v>4423</c:v>
                </c:pt>
                <c:pt idx="246">
                  <c:v>4058</c:v>
                </c:pt>
                <c:pt idx="247">
                  <c:v>3280</c:v>
                </c:pt>
                <c:pt idx="248">
                  <c:v>2748</c:v>
                </c:pt>
                <c:pt idx="249">
                  <c:v>2419</c:v>
                </c:pt>
                <c:pt idx="250">
                  <c:v>2089</c:v>
                </c:pt>
                <c:pt idx="251">
                  <c:v>1721</c:v>
                </c:pt>
                <c:pt idx="252">
                  <c:v>928</c:v>
                </c:pt>
                <c:pt idx="253">
                  <c:v>18</c:v>
                </c:pt>
                <c:pt idx="254">
                  <c:v>4190</c:v>
                </c:pt>
                <c:pt idx="255">
                  <c:v>3451</c:v>
                </c:pt>
                <c:pt idx="256">
                  <c:v>2693</c:v>
                </c:pt>
                <c:pt idx="257">
                  <c:v>2423</c:v>
                </c:pt>
                <c:pt idx="258">
                  <c:v>1583</c:v>
                </c:pt>
                <c:pt idx="259">
                  <c:v>1325</c:v>
                </c:pt>
                <c:pt idx="260">
                  <c:v>501</c:v>
                </c:pt>
                <c:pt idx="261">
                  <c:v>0</c:v>
                </c:pt>
                <c:pt idx="262">
                  <c:v>4439</c:v>
                </c:pt>
                <c:pt idx="263">
                  <c:v>3892</c:v>
                </c:pt>
                <c:pt idx="264">
                  <c:v>3116</c:v>
                </c:pt>
                <c:pt idx="265">
                  <c:v>2152</c:v>
                </c:pt>
                <c:pt idx="266">
                  <c:v>1557</c:v>
                </c:pt>
                <c:pt idx="267">
                  <c:v>859</c:v>
                </c:pt>
                <c:pt idx="268">
                  <c:v>202</c:v>
                </c:pt>
                <c:pt idx="269">
                  <c:v>4304</c:v>
                </c:pt>
                <c:pt idx="270">
                  <c:v>3512</c:v>
                </c:pt>
                <c:pt idx="271">
                  <c:v>3131</c:v>
                </c:pt>
                <c:pt idx="272">
                  <c:v>2575</c:v>
                </c:pt>
                <c:pt idx="273">
                  <c:v>2213</c:v>
                </c:pt>
                <c:pt idx="274">
                  <c:v>1990</c:v>
                </c:pt>
                <c:pt idx="275">
                  <c:v>1390</c:v>
                </c:pt>
                <c:pt idx="276">
                  <c:v>994</c:v>
                </c:pt>
                <c:pt idx="277">
                  <c:v>86</c:v>
                </c:pt>
                <c:pt idx="278">
                  <c:v>4159</c:v>
                </c:pt>
                <c:pt idx="279">
                  <c:v>3819</c:v>
                </c:pt>
                <c:pt idx="280">
                  <c:v>3341</c:v>
                </c:pt>
                <c:pt idx="281">
                  <c:v>2381</c:v>
                </c:pt>
                <c:pt idx="282">
                  <c:v>1587</c:v>
                </c:pt>
                <c:pt idx="283">
                  <c:v>834</c:v>
                </c:pt>
                <c:pt idx="284">
                  <c:v>552</c:v>
                </c:pt>
                <c:pt idx="285">
                  <c:v>58</c:v>
                </c:pt>
                <c:pt idx="286">
                  <c:v>4410</c:v>
                </c:pt>
                <c:pt idx="287">
                  <c:v>3936</c:v>
                </c:pt>
                <c:pt idx="288">
                  <c:v>3162</c:v>
                </c:pt>
                <c:pt idx="289">
                  <c:v>2704</c:v>
                </c:pt>
                <c:pt idx="290">
                  <c:v>2087</c:v>
                </c:pt>
                <c:pt idx="291">
                  <c:v>1609</c:v>
                </c:pt>
                <c:pt idx="292">
                  <c:v>1253</c:v>
                </c:pt>
                <c:pt idx="293">
                  <c:v>716</c:v>
                </c:pt>
                <c:pt idx="294">
                  <c:v>0</c:v>
                </c:pt>
                <c:pt idx="295">
                  <c:v>4763</c:v>
                </c:pt>
                <c:pt idx="296">
                  <c:v>4189</c:v>
                </c:pt>
                <c:pt idx="297">
                  <c:v>3811</c:v>
                </c:pt>
                <c:pt idx="298">
                  <c:v>3195</c:v>
                </c:pt>
                <c:pt idx="299">
                  <c:v>2635</c:v>
                </c:pt>
                <c:pt idx="300">
                  <c:v>2275</c:v>
                </c:pt>
                <c:pt idx="301">
                  <c:v>1418</c:v>
                </c:pt>
                <c:pt idx="302">
                  <c:v>1024</c:v>
                </c:pt>
                <c:pt idx="303">
                  <c:v>134</c:v>
                </c:pt>
                <c:pt idx="304">
                  <c:v>4691</c:v>
                </c:pt>
                <c:pt idx="305">
                  <c:v>4452</c:v>
                </c:pt>
                <c:pt idx="306">
                  <c:v>3820</c:v>
                </c:pt>
                <c:pt idx="307">
                  <c:v>3398</c:v>
                </c:pt>
                <c:pt idx="308">
                  <c:v>2851</c:v>
                </c:pt>
                <c:pt idx="309">
                  <c:v>2123</c:v>
                </c:pt>
                <c:pt idx="310">
                  <c:v>1273</c:v>
                </c:pt>
                <c:pt idx="311">
                  <c:v>994</c:v>
                </c:pt>
                <c:pt idx="312">
                  <c:v>485</c:v>
                </c:pt>
                <c:pt idx="313">
                  <c:v>0</c:v>
                </c:pt>
                <c:pt idx="314">
                  <c:v>4273</c:v>
                </c:pt>
                <c:pt idx="315">
                  <c:v>3372</c:v>
                </c:pt>
                <c:pt idx="316">
                  <c:v>2746</c:v>
                </c:pt>
                <c:pt idx="317">
                  <c:v>1996</c:v>
                </c:pt>
                <c:pt idx="318">
                  <c:v>1355</c:v>
                </c:pt>
                <c:pt idx="319">
                  <c:v>635</c:v>
                </c:pt>
                <c:pt idx="320">
                  <c:v>25</c:v>
                </c:pt>
                <c:pt idx="321">
                  <c:v>4205</c:v>
                </c:pt>
                <c:pt idx="322">
                  <c:v>3290</c:v>
                </c:pt>
                <c:pt idx="323">
                  <c:v>2467</c:v>
                </c:pt>
                <c:pt idx="324">
                  <c:v>1724</c:v>
                </c:pt>
                <c:pt idx="325">
                  <c:v>1081</c:v>
                </c:pt>
                <c:pt idx="326">
                  <c:v>460</c:v>
                </c:pt>
                <c:pt idx="327">
                  <c:v>0</c:v>
                </c:pt>
                <c:pt idx="328">
                  <c:v>4439</c:v>
                </c:pt>
                <c:pt idx="329">
                  <c:v>3558</c:v>
                </c:pt>
                <c:pt idx="330">
                  <c:v>3287</c:v>
                </c:pt>
                <c:pt idx="331">
                  <c:v>2463</c:v>
                </c:pt>
                <c:pt idx="332">
                  <c:v>1981</c:v>
                </c:pt>
                <c:pt idx="333">
                  <c:v>1191</c:v>
                </c:pt>
                <c:pt idx="334">
                  <c:v>970</c:v>
                </c:pt>
                <c:pt idx="335">
                  <c:v>390</c:v>
                </c:pt>
                <c:pt idx="336">
                  <c:v>78</c:v>
                </c:pt>
                <c:pt idx="337">
                  <c:v>4765</c:v>
                </c:pt>
                <c:pt idx="338">
                  <c:v>3972</c:v>
                </c:pt>
                <c:pt idx="339">
                  <c:v>3499</c:v>
                </c:pt>
                <c:pt idx="340">
                  <c:v>3059</c:v>
                </c:pt>
                <c:pt idx="341">
                  <c:v>2644</c:v>
                </c:pt>
                <c:pt idx="342">
                  <c:v>1763</c:v>
                </c:pt>
                <c:pt idx="343">
                  <c:v>961</c:v>
                </c:pt>
                <c:pt idx="344">
                  <c:v>731</c:v>
                </c:pt>
                <c:pt idx="345">
                  <c:v>0</c:v>
                </c:pt>
                <c:pt idx="346">
                  <c:v>4615</c:v>
                </c:pt>
                <c:pt idx="347">
                  <c:v>4274</c:v>
                </c:pt>
                <c:pt idx="348">
                  <c:v>3593</c:v>
                </c:pt>
                <c:pt idx="349">
                  <c:v>2689</c:v>
                </c:pt>
                <c:pt idx="350">
                  <c:v>2119</c:v>
                </c:pt>
                <c:pt idx="351">
                  <c:v>1381</c:v>
                </c:pt>
                <c:pt idx="352">
                  <c:v>1019</c:v>
                </c:pt>
                <c:pt idx="353">
                  <c:v>253</c:v>
                </c:pt>
                <c:pt idx="354">
                  <c:v>4428</c:v>
                </c:pt>
                <c:pt idx="355">
                  <c:v>3883</c:v>
                </c:pt>
                <c:pt idx="356">
                  <c:v>3384</c:v>
                </c:pt>
                <c:pt idx="357">
                  <c:v>2555</c:v>
                </c:pt>
                <c:pt idx="358">
                  <c:v>1584</c:v>
                </c:pt>
                <c:pt idx="359">
                  <c:v>848</c:v>
                </c:pt>
                <c:pt idx="360">
                  <c:v>0</c:v>
                </c:pt>
                <c:pt idx="361">
                  <c:v>4215</c:v>
                </c:pt>
                <c:pt idx="362">
                  <c:v>3438</c:v>
                </c:pt>
                <c:pt idx="363">
                  <c:v>3230</c:v>
                </c:pt>
                <c:pt idx="364">
                  <c:v>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D5-4F5B-8E7D-65DCF4120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0794655"/>
        <c:axId val="592753631"/>
      </c:lineChart>
      <c:catAx>
        <c:axId val="5607946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92753631"/>
        <c:crosses val="autoZero"/>
        <c:auto val="1"/>
        <c:lblAlgn val="ctr"/>
        <c:lblOffset val="100"/>
        <c:noMultiLvlLbl val="0"/>
      </c:catAx>
      <c:valAx>
        <c:axId val="592753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Units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60794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'Calculation Page'!$L$2" lockText="1" noThreeD="1"/>
</file>

<file path=xl/ctrlProps/ctrlProp6.xml><?xml version="1.0" encoding="utf-8"?>
<formControlPr xmlns="http://schemas.microsoft.com/office/spreadsheetml/2009/9/main" objectType="CheckBox" checked="Checked" fmlaLink="'Calculation Page'!$M$2" lockText="1" noThreeD="1"/>
</file>

<file path=xl/ctrlProps/ctrlProp7.xml><?xml version="1.0" encoding="utf-8"?>
<formControlPr xmlns="http://schemas.microsoft.com/office/spreadsheetml/2009/9/main" objectType="Scroll" dx="31" fmlaLink="$B$11" horiz="1" inc="100" max="10000" page="10" val="300"/>
</file>

<file path=xl/ctrlProps/ctrlProp8.xml><?xml version="1.0" encoding="utf-8"?>
<formControlPr xmlns="http://schemas.microsoft.com/office/spreadsheetml/2009/9/main" objectType="Scroll" dx="31" fmlaLink="$B$14" horiz="1" inc="500" max="30000" page="10" val="500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12700</xdr:rowOff>
    </xdr:from>
    <xdr:to>
      <xdr:col>6</xdr:col>
      <xdr:colOff>6350</xdr:colOff>
      <xdr:row>8</xdr:row>
      <xdr:rowOff>137838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7850"/>
          <a:ext cx="3663950" cy="110921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16</xdr:row>
          <xdr:rowOff>123825</xdr:rowOff>
        </xdr:from>
        <xdr:to>
          <xdr:col>1</xdr:col>
          <xdr:colOff>571500</xdr:colOff>
          <xdr:row>18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16</xdr:row>
          <xdr:rowOff>142875</xdr:rowOff>
        </xdr:from>
        <xdr:to>
          <xdr:col>3</xdr:col>
          <xdr:colOff>28575</xdr:colOff>
          <xdr:row>18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16</xdr:row>
          <xdr:rowOff>133350</xdr:rowOff>
        </xdr:from>
        <xdr:to>
          <xdr:col>4</xdr:col>
          <xdr:colOff>123825</xdr:colOff>
          <xdr:row>18</xdr:row>
          <xdr:rowOff>57150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16</xdr:row>
          <xdr:rowOff>123825</xdr:rowOff>
        </xdr:from>
        <xdr:to>
          <xdr:col>5</xdr:col>
          <xdr:colOff>257175</xdr:colOff>
          <xdr:row>18</xdr:row>
          <xdr:rowOff>47625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1</xdr:row>
          <xdr:rowOff>47625</xdr:rowOff>
        </xdr:from>
        <xdr:to>
          <xdr:col>12</xdr:col>
          <xdr:colOff>561975</xdr:colOff>
          <xdr:row>3</xdr:row>
          <xdr:rowOff>57150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 Demand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</xdr:row>
          <xdr:rowOff>38100</xdr:rowOff>
        </xdr:from>
        <xdr:to>
          <xdr:col>14</xdr:col>
          <xdr:colOff>333375</xdr:colOff>
          <xdr:row>3</xdr:row>
          <xdr:rowOff>28575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Ending Inventory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589646</xdr:colOff>
      <xdr:row>2</xdr:row>
      <xdr:rowOff>178404</xdr:rowOff>
    </xdr:from>
    <xdr:to>
      <xdr:col>20</xdr:col>
      <xdr:colOff>574526</xdr:colOff>
      <xdr:row>22</xdr:row>
      <xdr:rowOff>9071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335E7D3-9F32-4D59-B0C6-91012F5732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9525</xdr:rowOff>
        </xdr:from>
        <xdr:to>
          <xdr:col>6</xdr:col>
          <xdr:colOff>19050</xdr:colOff>
          <xdr:row>13</xdr:row>
          <xdr:rowOff>0</xdr:rowOff>
        </xdr:to>
        <xdr:sp macro="" textlink="">
          <xdr:nvSpPr>
            <xdr:cNvPr id="1044" name="Scroll Bar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152400</xdr:rowOff>
        </xdr:from>
        <xdr:to>
          <xdr:col>5</xdr:col>
          <xdr:colOff>600075</xdr:colOff>
          <xdr:row>15</xdr:row>
          <xdr:rowOff>123825</xdr:rowOff>
        </xdr:to>
        <xdr:sp macro="" textlink="">
          <xdr:nvSpPr>
            <xdr:cNvPr id="1045" name="Scroll Bar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03E4E-D92A-4427-B0C4-2C63F227153D}">
  <dimension ref="A1:U367"/>
  <sheetViews>
    <sheetView zoomScale="70" workbookViewId="0">
      <selection activeCell="K23" sqref="K23"/>
    </sheetView>
  </sheetViews>
  <sheetFormatPr defaultColWidth="8.7109375" defaultRowHeight="15" x14ac:dyDescent="0.25"/>
  <cols>
    <col min="1" max="16384" width="8.7109375" style="5"/>
  </cols>
  <sheetData>
    <row r="1" spans="1:21" ht="15.75" thickBot="1" x14ac:dyDescent="0.3">
      <c r="A1" s="51" t="s">
        <v>18</v>
      </c>
      <c r="B1" s="52"/>
      <c r="C1" s="52"/>
      <c r="D1" s="52"/>
      <c r="E1" s="52"/>
      <c r="F1" s="53"/>
      <c r="K1" s="48" t="s">
        <v>29</v>
      </c>
      <c r="L1" s="49"/>
      <c r="M1" s="49"/>
      <c r="N1" s="49"/>
      <c r="O1" s="49"/>
      <c r="P1" s="49"/>
      <c r="Q1" s="49"/>
      <c r="R1" s="49"/>
      <c r="S1" s="49"/>
      <c r="T1" s="49"/>
      <c r="U1" s="50"/>
    </row>
    <row r="2" spans="1:21" x14ac:dyDescent="0.25">
      <c r="A2" s="54"/>
      <c r="B2" s="55"/>
      <c r="C2" s="55"/>
      <c r="D2" s="55"/>
      <c r="E2" s="55"/>
      <c r="F2" s="56"/>
      <c r="H2" s="10" t="s">
        <v>19</v>
      </c>
      <c r="I2" s="11" t="s">
        <v>5</v>
      </c>
      <c r="K2" s="27"/>
      <c r="L2" s="21"/>
      <c r="M2" s="28"/>
      <c r="N2" s="21"/>
      <c r="O2" s="21"/>
      <c r="P2" s="21"/>
      <c r="Q2" s="21"/>
      <c r="R2" s="21"/>
      <c r="S2" s="21"/>
      <c r="T2" s="21"/>
      <c r="U2" s="22"/>
    </row>
    <row r="3" spans="1:21" ht="15.75" x14ac:dyDescent="0.25">
      <c r="A3" s="54"/>
      <c r="B3" s="55"/>
      <c r="C3" s="55"/>
      <c r="D3" s="55"/>
      <c r="E3" s="55"/>
      <c r="F3" s="56"/>
      <c r="H3" s="20">
        <v>1</v>
      </c>
      <c r="I3" s="36">
        <v>482</v>
      </c>
      <c r="K3" s="29"/>
      <c r="U3" s="23"/>
    </row>
    <row r="4" spans="1:21" ht="16.5" thickBot="1" x14ac:dyDescent="0.3">
      <c r="A4" s="57"/>
      <c r="B4" s="58"/>
      <c r="C4" s="58"/>
      <c r="D4" s="58"/>
      <c r="E4" s="58"/>
      <c r="F4" s="59"/>
      <c r="H4" s="20">
        <v>2</v>
      </c>
      <c r="I4" s="36">
        <v>903</v>
      </c>
      <c r="K4" s="29"/>
      <c r="U4" s="23"/>
    </row>
    <row r="5" spans="1:21" ht="15.75" x14ac:dyDescent="0.25">
      <c r="A5" s="29"/>
      <c r="F5" s="23"/>
      <c r="H5" s="20">
        <v>3</v>
      </c>
      <c r="I5" s="36">
        <v>248</v>
      </c>
      <c r="K5" s="29"/>
      <c r="U5" s="23"/>
    </row>
    <row r="6" spans="1:21" ht="15.75" x14ac:dyDescent="0.25">
      <c r="A6" s="29"/>
      <c r="F6" s="23"/>
      <c r="H6" s="20">
        <v>4</v>
      </c>
      <c r="I6" s="36">
        <v>484</v>
      </c>
      <c r="K6" s="29"/>
      <c r="U6" s="23"/>
    </row>
    <row r="7" spans="1:21" ht="15.75" x14ac:dyDescent="0.25">
      <c r="A7" s="29"/>
      <c r="F7" s="23"/>
      <c r="H7" s="20">
        <v>5</v>
      </c>
      <c r="I7" s="36">
        <v>851</v>
      </c>
      <c r="K7" s="29"/>
      <c r="U7" s="23"/>
    </row>
    <row r="8" spans="1:21" ht="15.75" x14ac:dyDescent="0.25">
      <c r="A8" s="29"/>
      <c r="F8" s="23"/>
      <c r="H8" s="20">
        <v>6</v>
      </c>
      <c r="I8" s="36">
        <v>660</v>
      </c>
      <c r="K8" s="29"/>
      <c r="U8" s="23"/>
    </row>
    <row r="9" spans="1:21" ht="16.5" thickBot="1" x14ac:dyDescent="0.3">
      <c r="A9" s="29"/>
      <c r="F9" s="23"/>
      <c r="H9" s="20">
        <v>7</v>
      </c>
      <c r="I9" s="36">
        <v>784</v>
      </c>
      <c r="K9" s="29"/>
      <c r="U9" s="23"/>
    </row>
    <row r="10" spans="1:21" ht="16.5" thickBot="1" x14ac:dyDescent="0.3">
      <c r="A10" s="60" t="s">
        <v>20</v>
      </c>
      <c r="B10" s="61"/>
      <c r="C10" s="61"/>
      <c r="D10" s="61"/>
      <c r="E10" s="61"/>
      <c r="F10" s="62"/>
      <c r="H10" s="20">
        <v>8</v>
      </c>
      <c r="I10" s="36">
        <v>317</v>
      </c>
      <c r="K10" s="29"/>
      <c r="U10" s="23"/>
    </row>
    <row r="11" spans="1:21" ht="15" customHeight="1" x14ac:dyDescent="0.25">
      <c r="A11" s="66" t="s">
        <v>21</v>
      </c>
      <c r="B11" s="69">
        <v>300</v>
      </c>
      <c r="C11" s="70"/>
      <c r="D11" s="70"/>
      <c r="E11" s="21"/>
      <c r="F11" s="22"/>
      <c r="H11" s="20">
        <v>9</v>
      </c>
      <c r="I11" s="36">
        <v>526</v>
      </c>
      <c r="K11" s="29"/>
      <c r="U11" s="23"/>
    </row>
    <row r="12" spans="1:21" ht="14.45" customHeight="1" x14ac:dyDescent="0.25">
      <c r="A12" s="67"/>
      <c r="B12" s="71"/>
      <c r="C12" s="72"/>
      <c r="D12" s="72"/>
      <c r="F12" s="23"/>
      <c r="H12" s="20">
        <v>10</v>
      </c>
      <c r="I12" s="36">
        <v>736</v>
      </c>
      <c r="K12" s="29"/>
      <c r="U12" s="23"/>
    </row>
    <row r="13" spans="1:21" ht="15" customHeight="1" thickBot="1" x14ac:dyDescent="0.3">
      <c r="A13" s="68"/>
      <c r="B13" s="73"/>
      <c r="C13" s="74"/>
      <c r="D13" s="74"/>
      <c r="E13" s="24"/>
      <c r="F13" s="25"/>
      <c r="H13" s="20">
        <v>11</v>
      </c>
      <c r="I13" s="36">
        <v>970</v>
      </c>
      <c r="K13" s="29"/>
      <c r="U13" s="23"/>
    </row>
    <row r="14" spans="1:21" ht="15.75" x14ac:dyDescent="0.25">
      <c r="A14" s="66" t="s">
        <v>23</v>
      </c>
      <c r="B14" s="75">
        <v>5000</v>
      </c>
      <c r="C14" s="76"/>
      <c r="D14" s="76"/>
      <c r="F14" s="23"/>
      <c r="H14" s="20">
        <v>12</v>
      </c>
      <c r="I14" s="36">
        <v>397</v>
      </c>
      <c r="K14" s="29"/>
      <c r="U14" s="23"/>
    </row>
    <row r="15" spans="1:21" ht="15.75" x14ac:dyDescent="0.25">
      <c r="A15" s="67"/>
      <c r="B15" s="77"/>
      <c r="C15" s="78"/>
      <c r="D15" s="78"/>
      <c r="F15" s="23"/>
      <c r="H15" s="20">
        <v>13</v>
      </c>
      <c r="I15" s="36">
        <v>313</v>
      </c>
      <c r="K15" s="29"/>
      <c r="U15" s="23"/>
    </row>
    <row r="16" spans="1:21" ht="16.5" thickBot="1" x14ac:dyDescent="0.3">
      <c r="A16" s="68"/>
      <c r="B16" s="79"/>
      <c r="C16" s="80"/>
      <c r="D16" s="80"/>
      <c r="F16" s="23"/>
      <c r="H16" s="20">
        <v>14</v>
      </c>
      <c r="I16" s="36">
        <v>948</v>
      </c>
      <c r="K16" s="29"/>
      <c r="U16" s="23"/>
    </row>
    <row r="17" spans="1:21" ht="15.75" x14ac:dyDescent="0.25">
      <c r="A17" s="63" t="s">
        <v>22</v>
      </c>
      <c r="B17" s="21"/>
      <c r="C17" s="21"/>
      <c r="D17" s="21"/>
      <c r="E17" s="21"/>
      <c r="F17" s="22"/>
      <c r="H17" s="20">
        <v>15</v>
      </c>
      <c r="I17" s="36">
        <v>203</v>
      </c>
      <c r="K17" s="29"/>
      <c r="U17" s="23"/>
    </row>
    <row r="18" spans="1:21" ht="15.75" x14ac:dyDescent="0.25">
      <c r="A18" s="64"/>
      <c r="F18" s="23"/>
      <c r="H18" s="20">
        <v>16</v>
      </c>
      <c r="I18" s="36">
        <v>641</v>
      </c>
      <c r="K18" s="29"/>
      <c r="U18" s="23"/>
    </row>
    <row r="19" spans="1:21" ht="16.5" thickBot="1" x14ac:dyDescent="0.3">
      <c r="A19" s="65"/>
      <c r="B19" s="24"/>
      <c r="C19" s="24"/>
      <c r="D19" s="24"/>
      <c r="E19" s="24"/>
      <c r="F19" s="25"/>
      <c r="H19" s="20">
        <v>17</v>
      </c>
      <c r="I19" s="36">
        <v>306</v>
      </c>
      <c r="K19" s="29"/>
      <c r="U19" s="23"/>
    </row>
    <row r="20" spans="1:21" ht="16.5" thickBot="1" x14ac:dyDescent="0.3">
      <c r="A20" s="89" t="s">
        <v>24</v>
      </c>
      <c r="B20" s="90"/>
      <c r="C20" s="90"/>
      <c r="D20" s="90"/>
      <c r="E20" s="90"/>
      <c r="F20" s="91"/>
      <c r="H20" s="20">
        <v>18</v>
      </c>
      <c r="I20" s="36">
        <v>643</v>
      </c>
      <c r="K20" s="29"/>
      <c r="U20" s="23"/>
    </row>
    <row r="21" spans="1:21" ht="15.75" x14ac:dyDescent="0.25">
      <c r="A21" s="92" t="s">
        <v>25</v>
      </c>
      <c r="B21" s="93"/>
      <c r="C21" s="93"/>
      <c r="D21" s="94">
        <f>SUM('Calculation Page'!G3:G367)</f>
        <v>61487.717260273996</v>
      </c>
      <c r="E21" s="94"/>
      <c r="F21" s="95"/>
      <c r="H21" s="20">
        <v>19</v>
      </c>
      <c r="I21" s="36">
        <v>758</v>
      </c>
      <c r="K21" s="29"/>
      <c r="U21" s="23"/>
    </row>
    <row r="22" spans="1:21" ht="16.5" thickBot="1" x14ac:dyDescent="0.3">
      <c r="A22" s="81" t="s">
        <v>26</v>
      </c>
      <c r="B22" s="82"/>
      <c r="C22" s="82"/>
      <c r="D22" s="83">
        <f>SUM('Calculation Page'!I3:I367)</f>
        <v>11550</v>
      </c>
      <c r="E22" s="83"/>
      <c r="F22" s="84"/>
      <c r="H22" s="20">
        <v>20</v>
      </c>
      <c r="I22" s="36">
        <v>422</v>
      </c>
      <c r="K22" s="30"/>
      <c r="L22" s="24"/>
      <c r="M22" s="24"/>
      <c r="N22" s="24"/>
      <c r="O22" s="24"/>
      <c r="P22" s="24"/>
      <c r="Q22" s="24"/>
      <c r="R22" s="24"/>
      <c r="S22" s="24"/>
      <c r="T22" s="24"/>
      <c r="U22" s="25"/>
    </row>
    <row r="23" spans="1:21" ht="15.75" x14ac:dyDescent="0.25">
      <c r="A23" s="81" t="s">
        <v>27</v>
      </c>
      <c r="B23" s="82"/>
      <c r="C23" s="82"/>
      <c r="D23" s="83">
        <f>D21+D22</f>
        <v>73037.717260273988</v>
      </c>
      <c r="E23" s="83"/>
      <c r="F23" s="84"/>
      <c r="H23" s="20">
        <v>21</v>
      </c>
      <c r="I23" s="36">
        <v>277</v>
      </c>
    </row>
    <row r="24" spans="1:21" ht="16.5" thickBot="1" x14ac:dyDescent="0.3">
      <c r="A24" s="85" t="s">
        <v>28</v>
      </c>
      <c r="B24" s="86"/>
      <c r="C24" s="86"/>
      <c r="D24" s="87" cm="1">
        <f t="array" ref="D24">SUM('Calculation Page'!$E$3:$E$367/SUM('Calculation Page'!$C$3:$C$367))</f>
        <v>2.0234511840640887E-2</v>
      </c>
      <c r="E24" s="87"/>
      <c r="F24" s="88"/>
      <c r="H24" s="20">
        <v>22</v>
      </c>
      <c r="I24" s="36">
        <v>583</v>
      </c>
    </row>
    <row r="25" spans="1:21" ht="15.75" x14ac:dyDescent="0.25">
      <c r="H25" s="20">
        <v>23</v>
      </c>
      <c r="I25" s="36">
        <v>418</v>
      </c>
    </row>
    <row r="26" spans="1:21" ht="15.75" x14ac:dyDescent="0.25">
      <c r="H26" s="20">
        <v>24</v>
      </c>
      <c r="I26" s="36">
        <v>628</v>
      </c>
    </row>
    <row r="27" spans="1:21" ht="15.75" x14ac:dyDescent="0.25">
      <c r="H27" s="20">
        <v>25</v>
      </c>
      <c r="I27" s="36">
        <v>761</v>
      </c>
    </row>
    <row r="28" spans="1:21" ht="15.75" x14ac:dyDescent="0.25">
      <c r="H28" s="20">
        <v>26</v>
      </c>
      <c r="I28" s="36">
        <v>364</v>
      </c>
    </row>
    <row r="29" spans="1:21" ht="15.75" x14ac:dyDescent="0.25">
      <c r="H29" s="20">
        <v>27</v>
      </c>
      <c r="I29" s="36">
        <v>486</v>
      </c>
    </row>
    <row r="30" spans="1:21" ht="15.75" x14ac:dyDescent="0.25">
      <c r="H30" s="20">
        <v>28</v>
      </c>
      <c r="I30" s="36">
        <v>964</v>
      </c>
    </row>
    <row r="31" spans="1:21" ht="15.75" x14ac:dyDescent="0.25">
      <c r="H31" s="20">
        <v>29</v>
      </c>
      <c r="I31" s="36">
        <v>284</v>
      </c>
    </row>
    <row r="32" spans="1:21" ht="15.75" x14ac:dyDescent="0.25">
      <c r="H32" s="20">
        <v>30</v>
      </c>
      <c r="I32" s="36">
        <v>787</v>
      </c>
    </row>
    <row r="33" spans="8:9" ht="15.75" x14ac:dyDescent="0.25">
      <c r="H33" s="20">
        <v>31</v>
      </c>
      <c r="I33" s="36">
        <v>249</v>
      </c>
    </row>
    <row r="34" spans="8:9" ht="15.75" x14ac:dyDescent="0.25">
      <c r="H34" s="20">
        <v>32</v>
      </c>
      <c r="I34" s="36">
        <v>609</v>
      </c>
    </row>
    <row r="35" spans="8:9" ht="15.75" x14ac:dyDescent="0.25">
      <c r="H35" s="20">
        <v>33</v>
      </c>
      <c r="I35" s="36">
        <v>644</v>
      </c>
    </row>
    <row r="36" spans="8:9" ht="15.75" x14ac:dyDescent="0.25">
      <c r="H36" s="20">
        <v>34</v>
      </c>
      <c r="I36" s="36">
        <v>954</v>
      </c>
    </row>
    <row r="37" spans="8:9" ht="15.75" x14ac:dyDescent="0.25">
      <c r="H37" s="20">
        <v>35</v>
      </c>
      <c r="I37" s="36">
        <v>854</v>
      </c>
    </row>
    <row r="38" spans="8:9" ht="15.75" x14ac:dyDescent="0.25">
      <c r="H38" s="20">
        <v>36</v>
      </c>
      <c r="I38" s="36">
        <v>334</v>
      </c>
    </row>
    <row r="39" spans="8:9" ht="15.75" x14ac:dyDescent="0.25">
      <c r="H39" s="20">
        <v>37</v>
      </c>
      <c r="I39" s="36">
        <v>349</v>
      </c>
    </row>
    <row r="40" spans="8:9" ht="15.75" x14ac:dyDescent="0.25">
      <c r="H40" s="20">
        <v>38</v>
      </c>
      <c r="I40" s="36">
        <v>597</v>
      </c>
    </row>
    <row r="41" spans="8:9" ht="15.75" x14ac:dyDescent="0.25">
      <c r="H41" s="20">
        <v>39</v>
      </c>
      <c r="I41" s="36">
        <v>318</v>
      </c>
    </row>
    <row r="42" spans="8:9" ht="15.75" x14ac:dyDescent="0.25">
      <c r="H42" s="20">
        <v>40</v>
      </c>
      <c r="I42" s="36">
        <v>622</v>
      </c>
    </row>
    <row r="43" spans="8:9" ht="15.75" x14ac:dyDescent="0.25">
      <c r="H43" s="20">
        <v>41</v>
      </c>
      <c r="I43" s="36">
        <v>575</v>
      </c>
    </row>
    <row r="44" spans="8:9" ht="15.75" x14ac:dyDescent="0.25">
      <c r="H44" s="20">
        <v>42</v>
      </c>
      <c r="I44" s="36">
        <v>671</v>
      </c>
    </row>
    <row r="45" spans="8:9" ht="15.75" x14ac:dyDescent="0.25">
      <c r="H45" s="20">
        <v>43</v>
      </c>
      <c r="I45" s="36">
        <v>824</v>
      </c>
    </row>
    <row r="46" spans="8:9" ht="15.75" x14ac:dyDescent="0.25">
      <c r="H46" s="20">
        <v>44</v>
      </c>
      <c r="I46" s="36">
        <v>488</v>
      </c>
    </row>
    <row r="47" spans="8:9" ht="15.75" x14ac:dyDescent="0.25">
      <c r="H47" s="20">
        <v>45</v>
      </c>
      <c r="I47" s="36">
        <v>229</v>
      </c>
    </row>
    <row r="48" spans="8:9" ht="15.75" x14ac:dyDescent="0.25">
      <c r="H48" s="20">
        <v>46</v>
      </c>
      <c r="I48" s="36">
        <v>234</v>
      </c>
    </row>
    <row r="49" spans="8:9" ht="15.75" x14ac:dyDescent="0.25">
      <c r="H49" s="20">
        <v>47</v>
      </c>
      <c r="I49" s="36">
        <v>569</v>
      </c>
    </row>
    <row r="50" spans="8:9" ht="15.75" x14ac:dyDescent="0.25">
      <c r="H50" s="20">
        <v>48</v>
      </c>
      <c r="I50" s="36">
        <v>969</v>
      </c>
    </row>
    <row r="51" spans="8:9" ht="15.75" x14ac:dyDescent="0.25">
      <c r="H51" s="20">
        <v>49</v>
      </c>
      <c r="I51" s="36">
        <v>539</v>
      </c>
    </row>
    <row r="52" spans="8:9" ht="15.75" x14ac:dyDescent="0.25">
      <c r="H52" s="20">
        <v>50</v>
      </c>
      <c r="I52" s="36">
        <v>584</v>
      </c>
    </row>
    <row r="53" spans="8:9" ht="15.75" x14ac:dyDescent="0.25">
      <c r="H53" s="20">
        <v>51</v>
      </c>
      <c r="I53" s="36">
        <v>278</v>
      </c>
    </row>
    <row r="54" spans="8:9" ht="15.75" x14ac:dyDescent="0.25">
      <c r="H54" s="20">
        <v>52</v>
      </c>
      <c r="I54" s="36">
        <v>828</v>
      </c>
    </row>
    <row r="55" spans="8:9" ht="15.75" x14ac:dyDescent="0.25">
      <c r="H55" s="20">
        <v>53</v>
      </c>
      <c r="I55" s="36">
        <v>669</v>
      </c>
    </row>
    <row r="56" spans="8:9" ht="15.75" x14ac:dyDescent="0.25">
      <c r="H56" s="20">
        <v>54</v>
      </c>
      <c r="I56" s="36">
        <v>816</v>
      </c>
    </row>
    <row r="57" spans="8:9" ht="15.75" x14ac:dyDescent="0.25">
      <c r="H57" s="20">
        <v>55</v>
      </c>
      <c r="I57" s="36">
        <v>856</v>
      </c>
    </row>
    <row r="58" spans="8:9" ht="15.75" x14ac:dyDescent="0.25">
      <c r="H58" s="20">
        <v>56</v>
      </c>
      <c r="I58" s="36">
        <v>754</v>
      </c>
    </row>
    <row r="59" spans="8:9" ht="15.75" x14ac:dyDescent="0.25">
      <c r="H59" s="20">
        <v>57</v>
      </c>
      <c r="I59" s="36">
        <v>253</v>
      </c>
    </row>
    <row r="60" spans="8:9" ht="15.75" x14ac:dyDescent="0.25">
      <c r="H60" s="20">
        <v>58</v>
      </c>
      <c r="I60" s="36">
        <v>679</v>
      </c>
    </row>
    <row r="61" spans="8:9" ht="15.75" x14ac:dyDescent="0.25">
      <c r="H61" s="20">
        <v>59</v>
      </c>
      <c r="I61" s="36">
        <v>767</v>
      </c>
    </row>
    <row r="62" spans="8:9" ht="15.75" x14ac:dyDescent="0.25">
      <c r="H62" s="20">
        <v>60</v>
      </c>
      <c r="I62" s="36">
        <v>696</v>
      </c>
    </row>
    <row r="63" spans="8:9" ht="15.75" x14ac:dyDescent="0.25">
      <c r="H63" s="20">
        <v>61</v>
      </c>
      <c r="I63" s="36">
        <v>535</v>
      </c>
    </row>
    <row r="64" spans="8:9" ht="15.75" x14ac:dyDescent="0.25">
      <c r="H64" s="20">
        <v>62</v>
      </c>
      <c r="I64" s="36">
        <v>959</v>
      </c>
    </row>
    <row r="65" spans="8:9" ht="15.75" x14ac:dyDescent="0.25">
      <c r="H65" s="20">
        <v>63</v>
      </c>
      <c r="I65" s="36">
        <v>837</v>
      </c>
    </row>
    <row r="66" spans="8:9" ht="15.75" x14ac:dyDescent="0.25">
      <c r="H66" s="20">
        <v>64</v>
      </c>
      <c r="I66" s="36">
        <v>466</v>
      </c>
    </row>
    <row r="67" spans="8:9" ht="15.75" x14ac:dyDescent="0.25">
      <c r="H67" s="20">
        <v>65</v>
      </c>
      <c r="I67" s="36">
        <v>519</v>
      </c>
    </row>
    <row r="68" spans="8:9" ht="15.75" x14ac:dyDescent="0.25">
      <c r="H68" s="20">
        <v>66</v>
      </c>
      <c r="I68" s="36">
        <v>502</v>
      </c>
    </row>
    <row r="69" spans="8:9" ht="15.75" x14ac:dyDescent="0.25">
      <c r="H69" s="20">
        <v>67</v>
      </c>
      <c r="I69" s="36">
        <v>973</v>
      </c>
    </row>
    <row r="70" spans="8:9" ht="15.75" x14ac:dyDescent="0.25">
      <c r="H70" s="20">
        <v>68</v>
      </c>
      <c r="I70" s="36">
        <v>500</v>
      </c>
    </row>
    <row r="71" spans="8:9" ht="15.75" x14ac:dyDescent="0.25">
      <c r="H71" s="20">
        <v>69</v>
      </c>
      <c r="I71" s="36">
        <v>252</v>
      </c>
    </row>
    <row r="72" spans="8:9" ht="15.75" x14ac:dyDescent="0.25">
      <c r="H72" s="20">
        <v>70</v>
      </c>
      <c r="I72" s="36">
        <v>566</v>
      </c>
    </row>
    <row r="73" spans="8:9" ht="15.75" x14ac:dyDescent="0.25">
      <c r="H73" s="20">
        <v>71</v>
      </c>
      <c r="I73" s="36">
        <v>508</v>
      </c>
    </row>
    <row r="74" spans="8:9" ht="15.75" x14ac:dyDescent="0.25">
      <c r="H74" s="20">
        <v>72</v>
      </c>
      <c r="I74" s="36">
        <v>797</v>
      </c>
    </row>
    <row r="75" spans="8:9" ht="15.75" x14ac:dyDescent="0.25">
      <c r="H75" s="20">
        <v>73</v>
      </c>
      <c r="I75" s="36">
        <v>800</v>
      </c>
    </row>
    <row r="76" spans="8:9" ht="15.75" x14ac:dyDescent="0.25">
      <c r="H76" s="20">
        <v>74</v>
      </c>
      <c r="I76" s="36">
        <v>407</v>
      </c>
    </row>
    <row r="77" spans="8:9" ht="15.75" x14ac:dyDescent="0.25">
      <c r="H77" s="20">
        <v>75</v>
      </c>
      <c r="I77" s="36">
        <v>570</v>
      </c>
    </row>
    <row r="78" spans="8:9" ht="15.75" x14ac:dyDescent="0.25">
      <c r="H78" s="20">
        <v>76</v>
      </c>
      <c r="I78" s="36">
        <v>298</v>
      </c>
    </row>
    <row r="79" spans="8:9" ht="15.75" x14ac:dyDescent="0.25">
      <c r="H79" s="20">
        <v>77</v>
      </c>
      <c r="I79" s="36">
        <v>476</v>
      </c>
    </row>
    <row r="80" spans="8:9" ht="15.75" x14ac:dyDescent="0.25">
      <c r="H80" s="20">
        <v>78</v>
      </c>
      <c r="I80" s="36">
        <v>349</v>
      </c>
    </row>
    <row r="81" spans="8:9" ht="15.75" x14ac:dyDescent="0.25">
      <c r="H81" s="20">
        <v>79</v>
      </c>
      <c r="I81" s="36">
        <v>856</v>
      </c>
    </row>
    <row r="82" spans="8:9" ht="15.75" x14ac:dyDescent="0.25">
      <c r="H82" s="20">
        <v>80</v>
      </c>
      <c r="I82" s="36">
        <v>233</v>
      </c>
    </row>
    <row r="83" spans="8:9" ht="15.75" x14ac:dyDescent="0.25">
      <c r="H83" s="20">
        <v>81</v>
      </c>
      <c r="I83" s="36">
        <v>180</v>
      </c>
    </row>
    <row r="84" spans="8:9" ht="15.75" x14ac:dyDescent="0.25">
      <c r="H84" s="20">
        <v>82</v>
      </c>
      <c r="I84" s="36">
        <v>825</v>
      </c>
    </row>
    <row r="85" spans="8:9" ht="15.75" x14ac:dyDescent="0.25">
      <c r="H85" s="20">
        <v>83</v>
      </c>
      <c r="I85" s="36">
        <v>823</v>
      </c>
    </row>
    <row r="86" spans="8:9" ht="15.75" x14ac:dyDescent="0.25">
      <c r="H86" s="20">
        <v>84</v>
      </c>
      <c r="I86" s="36">
        <v>337</v>
      </c>
    </row>
    <row r="87" spans="8:9" ht="15.75" x14ac:dyDescent="0.25">
      <c r="H87" s="20">
        <v>85</v>
      </c>
      <c r="I87" s="36">
        <v>468</v>
      </c>
    </row>
    <row r="88" spans="8:9" ht="15.75" x14ac:dyDescent="0.25">
      <c r="H88" s="20">
        <v>86</v>
      </c>
      <c r="I88" s="36">
        <v>215</v>
      </c>
    </row>
    <row r="89" spans="8:9" ht="15.75" x14ac:dyDescent="0.25">
      <c r="H89" s="20">
        <v>87</v>
      </c>
      <c r="I89" s="36">
        <v>191</v>
      </c>
    </row>
    <row r="90" spans="8:9" ht="15.75" x14ac:dyDescent="0.25">
      <c r="H90" s="20">
        <v>88</v>
      </c>
      <c r="I90" s="36">
        <v>777</v>
      </c>
    </row>
    <row r="91" spans="8:9" ht="15.75" x14ac:dyDescent="0.25">
      <c r="H91" s="20">
        <v>89</v>
      </c>
      <c r="I91" s="36">
        <v>198</v>
      </c>
    </row>
    <row r="92" spans="8:9" ht="15.75" x14ac:dyDescent="0.25">
      <c r="H92" s="20">
        <v>90</v>
      </c>
      <c r="I92" s="36">
        <v>359</v>
      </c>
    </row>
    <row r="93" spans="8:9" ht="15.75" x14ac:dyDescent="0.25">
      <c r="H93" s="20">
        <v>91</v>
      </c>
      <c r="I93" s="36">
        <v>486</v>
      </c>
    </row>
    <row r="94" spans="8:9" ht="15.75" x14ac:dyDescent="0.25">
      <c r="H94" s="20">
        <v>92</v>
      </c>
      <c r="I94" s="36">
        <v>602</v>
      </c>
    </row>
    <row r="95" spans="8:9" ht="15.75" x14ac:dyDescent="0.25">
      <c r="H95" s="20">
        <v>93</v>
      </c>
      <c r="I95" s="36">
        <v>705</v>
      </c>
    </row>
    <row r="96" spans="8:9" ht="15.75" x14ac:dyDescent="0.25">
      <c r="H96" s="20">
        <v>94</v>
      </c>
      <c r="I96" s="36">
        <v>705</v>
      </c>
    </row>
    <row r="97" spans="8:9" ht="15.75" x14ac:dyDescent="0.25">
      <c r="H97" s="20">
        <v>95</v>
      </c>
      <c r="I97" s="36">
        <v>784</v>
      </c>
    </row>
    <row r="98" spans="8:9" ht="15.75" x14ac:dyDescent="0.25">
      <c r="H98" s="20">
        <v>96</v>
      </c>
      <c r="I98" s="36">
        <v>613</v>
      </c>
    </row>
    <row r="99" spans="8:9" ht="15.75" x14ac:dyDescent="0.25">
      <c r="H99" s="20">
        <v>97</v>
      </c>
      <c r="I99" s="36">
        <v>390</v>
      </c>
    </row>
    <row r="100" spans="8:9" ht="15.75" x14ac:dyDescent="0.25">
      <c r="H100" s="20">
        <v>98</v>
      </c>
      <c r="I100" s="36">
        <v>301</v>
      </c>
    </row>
    <row r="101" spans="8:9" ht="15.75" x14ac:dyDescent="0.25">
      <c r="H101" s="20">
        <v>99</v>
      </c>
      <c r="I101" s="36">
        <v>302</v>
      </c>
    </row>
    <row r="102" spans="8:9" ht="15.75" x14ac:dyDescent="0.25">
      <c r="H102" s="20">
        <v>100</v>
      </c>
      <c r="I102" s="36">
        <v>516</v>
      </c>
    </row>
    <row r="103" spans="8:9" ht="15.75" x14ac:dyDescent="0.25">
      <c r="H103" s="20">
        <v>101</v>
      </c>
      <c r="I103" s="36">
        <v>750</v>
      </c>
    </row>
    <row r="104" spans="8:9" ht="15.75" x14ac:dyDescent="0.25">
      <c r="H104" s="20">
        <v>102</v>
      </c>
      <c r="I104" s="36">
        <v>857</v>
      </c>
    </row>
    <row r="105" spans="8:9" ht="15.75" x14ac:dyDescent="0.25">
      <c r="H105" s="20">
        <v>103</v>
      </c>
      <c r="I105" s="36">
        <v>928</v>
      </c>
    </row>
    <row r="106" spans="8:9" ht="15.75" x14ac:dyDescent="0.25">
      <c r="H106" s="20">
        <v>104</v>
      </c>
      <c r="I106" s="36">
        <v>940</v>
      </c>
    </row>
    <row r="107" spans="8:9" ht="15.75" x14ac:dyDescent="0.25">
      <c r="H107" s="20">
        <v>105</v>
      </c>
      <c r="I107" s="36">
        <v>849</v>
      </c>
    </row>
    <row r="108" spans="8:9" ht="15.75" x14ac:dyDescent="0.25">
      <c r="H108" s="20">
        <v>106</v>
      </c>
      <c r="I108" s="36">
        <v>440</v>
      </c>
    </row>
    <row r="109" spans="8:9" ht="15.75" x14ac:dyDescent="0.25">
      <c r="H109" s="20">
        <v>107</v>
      </c>
      <c r="I109" s="36">
        <v>339</v>
      </c>
    </row>
    <row r="110" spans="8:9" ht="15.75" x14ac:dyDescent="0.25">
      <c r="H110" s="20">
        <v>108</v>
      </c>
      <c r="I110" s="36">
        <v>679</v>
      </c>
    </row>
    <row r="111" spans="8:9" ht="15.75" x14ac:dyDescent="0.25">
      <c r="H111" s="20">
        <v>109</v>
      </c>
      <c r="I111" s="36">
        <v>299</v>
      </c>
    </row>
    <row r="112" spans="8:9" ht="15.75" x14ac:dyDescent="0.25">
      <c r="H112" s="20">
        <v>110</v>
      </c>
      <c r="I112" s="36">
        <v>379</v>
      </c>
    </row>
    <row r="113" spans="8:9" ht="15.75" x14ac:dyDescent="0.25">
      <c r="H113" s="20">
        <v>111</v>
      </c>
      <c r="I113" s="36">
        <v>373</v>
      </c>
    </row>
    <row r="114" spans="8:9" ht="15.75" x14ac:dyDescent="0.25">
      <c r="H114" s="20">
        <v>112</v>
      </c>
      <c r="I114" s="36">
        <v>758</v>
      </c>
    </row>
    <row r="115" spans="8:9" ht="15.75" x14ac:dyDescent="0.25">
      <c r="H115" s="20">
        <v>113</v>
      </c>
      <c r="I115" s="36">
        <v>246</v>
      </c>
    </row>
    <row r="116" spans="8:9" ht="15.75" x14ac:dyDescent="0.25">
      <c r="H116" s="20">
        <v>114</v>
      </c>
      <c r="I116" s="36">
        <v>435</v>
      </c>
    </row>
    <row r="117" spans="8:9" ht="15.75" x14ac:dyDescent="0.25">
      <c r="H117" s="20">
        <v>115</v>
      </c>
      <c r="I117" s="36">
        <v>797</v>
      </c>
    </row>
    <row r="118" spans="8:9" ht="15.75" x14ac:dyDescent="0.25">
      <c r="H118" s="20">
        <v>116</v>
      </c>
      <c r="I118" s="36">
        <v>273</v>
      </c>
    </row>
    <row r="119" spans="8:9" ht="15.75" x14ac:dyDescent="0.25">
      <c r="H119" s="20">
        <v>117</v>
      </c>
      <c r="I119" s="36">
        <v>344</v>
      </c>
    </row>
    <row r="120" spans="8:9" ht="15.75" x14ac:dyDescent="0.25">
      <c r="H120" s="20">
        <v>118</v>
      </c>
      <c r="I120" s="36">
        <v>525</v>
      </c>
    </row>
    <row r="121" spans="8:9" ht="15.75" x14ac:dyDescent="0.25">
      <c r="H121" s="20">
        <v>119</v>
      </c>
      <c r="I121" s="36">
        <v>408</v>
      </c>
    </row>
    <row r="122" spans="8:9" ht="15.75" x14ac:dyDescent="0.25">
      <c r="H122" s="20">
        <v>120</v>
      </c>
      <c r="I122" s="36">
        <v>903</v>
      </c>
    </row>
    <row r="123" spans="8:9" ht="15.75" x14ac:dyDescent="0.25">
      <c r="H123" s="20">
        <v>121</v>
      </c>
      <c r="I123" s="36">
        <v>705</v>
      </c>
    </row>
    <row r="124" spans="8:9" ht="15.75" x14ac:dyDescent="0.25">
      <c r="H124" s="20">
        <v>122</v>
      </c>
      <c r="I124" s="36">
        <v>932</v>
      </c>
    </row>
    <row r="125" spans="8:9" ht="15.75" x14ac:dyDescent="0.25">
      <c r="H125" s="20">
        <v>123</v>
      </c>
      <c r="I125" s="36">
        <v>784</v>
      </c>
    </row>
    <row r="126" spans="8:9" ht="15.75" x14ac:dyDescent="0.25">
      <c r="H126" s="20">
        <v>124</v>
      </c>
      <c r="I126" s="36">
        <v>817</v>
      </c>
    </row>
    <row r="127" spans="8:9" ht="15.75" x14ac:dyDescent="0.25">
      <c r="H127" s="20">
        <v>125</v>
      </c>
      <c r="I127" s="36">
        <v>477</v>
      </c>
    </row>
    <row r="128" spans="8:9" ht="15.75" x14ac:dyDescent="0.25">
      <c r="H128" s="20">
        <v>126</v>
      </c>
      <c r="I128" s="36">
        <v>840</v>
      </c>
    </row>
    <row r="129" spans="8:9" ht="15.75" x14ac:dyDescent="0.25">
      <c r="H129" s="20">
        <v>127</v>
      </c>
      <c r="I129" s="36">
        <v>531</v>
      </c>
    </row>
    <row r="130" spans="8:9" ht="15.75" x14ac:dyDescent="0.25">
      <c r="H130" s="20">
        <v>128</v>
      </c>
      <c r="I130" s="36">
        <v>436</v>
      </c>
    </row>
    <row r="131" spans="8:9" ht="15.75" x14ac:dyDescent="0.25">
      <c r="H131" s="20">
        <v>129</v>
      </c>
      <c r="I131" s="36">
        <v>261</v>
      </c>
    </row>
    <row r="132" spans="8:9" ht="15.75" x14ac:dyDescent="0.25">
      <c r="H132" s="20">
        <v>130</v>
      </c>
      <c r="I132" s="36">
        <v>669</v>
      </c>
    </row>
    <row r="133" spans="8:9" ht="15.75" x14ac:dyDescent="0.25">
      <c r="H133" s="20">
        <v>131</v>
      </c>
      <c r="I133" s="36">
        <v>654</v>
      </c>
    </row>
    <row r="134" spans="8:9" ht="15.75" x14ac:dyDescent="0.25">
      <c r="H134" s="20">
        <v>132</v>
      </c>
      <c r="I134" s="36">
        <v>244</v>
      </c>
    </row>
    <row r="135" spans="8:9" ht="15.75" x14ac:dyDescent="0.25">
      <c r="H135" s="20">
        <v>133</v>
      </c>
      <c r="I135" s="36">
        <v>646</v>
      </c>
    </row>
    <row r="136" spans="8:9" ht="15.75" x14ac:dyDescent="0.25">
      <c r="H136" s="20">
        <v>134</v>
      </c>
      <c r="I136" s="36">
        <v>878</v>
      </c>
    </row>
    <row r="137" spans="8:9" ht="15.75" x14ac:dyDescent="0.25">
      <c r="H137" s="20">
        <v>135</v>
      </c>
      <c r="I137" s="36">
        <v>714</v>
      </c>
    </row>
    <row r="138" spans="8:9" ht="15.75" x14ac:dyDescent="0.25">
      <c r="H138" s="20">
        <v>136</v>
      </c>
      <c r="I138" s="36">
        <v>650</v>
      </c>
    </row>
    <row r="139" spans="8:9" ht="15.75" x14ac:dyDescent="0.25">
      <c r="H139" s="20">
        <v>137</v>
      </c>
      <c r="I139" s="36">
        <v>703</v>
      </c>
    </row>
    <row r="140" spans="8:9" ht="15.75" x14ac:dyDescent="0.25">
      <c r="H140" s="20">
        <v>138</v>
      </c>
      <c r="I140" s="36">
        <v>359</v>
      </c>
    </row>
    <row r="141" spans="8:9" ht="15.75" x14ac:dyDescent="0.25">
      <c r="H141" s="20">
        <v>139</v>
      </c>
      <c r="I141" s="36">
        <v>313</v>
      </c>
    </row>
    <row r="142" spans="8:9" ht="15.75" x14ac:dyDescent="0.25">
      <c r="H142" s="20">
        <v>140</v>
      </c>
      <c r="I142" s="36">
        <v>814</v>
      </c>
    </row>
    <row r="143" spans="8:9" ht="15.75" x14ac:dyDescent="0.25">
      <c r="H143" s="20">
        <v>141</v>
      </c>
      <c r="I143" s="36">
        <v>947</v>
      </c>
    </row>
    <row r="144" spans="8:9" ht="15.75" x14ac:dyDescent="0.25">
      <c r="H144" s="20">
        <v>142</v>
      </c>
      <c r="I144" s="36">
        <v>314</v>
      </c>
    </row>
    <row r="145" spans="8:9" ht="15.75" x14ac:dyDescent="0.25">
      <c r="H145" s="20">
        <v>143</v>
      </c>
      <c r="I145" s="36">
        <v>178</v>
      </c>
    </row>
    <row r="146" spans="8:9" ht="15.75" x14ac:dyDescent="0.25">
      <c r="H146" s="20">
        <v>144</v>
      </c>
      <c r="I146" s="36">
        <v>738</v>
      </c>
    </row>
    <row r="147" spans="8:9" ht="15.75" x14ac:dyDescent="0.25">
      <c r="H147" s="20">
        <v>145</v>
      </c>
      <c r="I147" s="36">
        <v>521</v>
      </c>
    </row>
    <row r="148" spans="8:9" ht="15.75" x14ac:dyDescent="0.25">
      <c r="H148" s="20">
        <v>146</v>
      </c>
      <c r="I148" s="36">
        <v>497</v>
      </c>
    </row>
    <row r="149" spans="8:9" ht="15.75" x14ac:dyDescent="0.25">
      <c r="H149" s="20">
        <v>147</v>
      </c>
      <c r="I149" s="36">
        <v>451</v>
      </c>
    </row>
    <row r="150" spans="8:9" ht="15.75" x14ac:dyDescent="0.25">
      <c r="H150" s="20">
        <v>148</v>
      </c>
      <c r="I150" s="36">
        <v>542</v>
      </c>
    </row>
    <row r="151" spans="8:9" ht="15.75" x14ac:dyDescent="0.25">
      <c r="H151" s="20">
        <v>149</v>
      </c>
      <c r="I151" s="36">
        <v>943</v>
      </c>
    </row>
    <row r="152" spans="8:9" ht="15.75" x14ac:dyDescent="0.25">
      <c r="H152" s="20">
        <v>150</v>
      </c>
      <c r="I152" s="36">
        <v>435</v>
      </c>
    </row>
    <row r="153" spans="8:9" ht="15.75" x14ac:dyDescent="0.25">
      <c r="H153" s="20">
        <v>151</v>
      </c>
      <c r="I153" s="36">
        <v>377</v>
      </c>
    </row>
    <row r="154" spans="8:9" ht="15.75" x14ac:dyDescent="0.25">
      <c r="H154" s="20">
        <v>152</v>
      </c>
      <c r="I154" s="36">
        <v>851</v>
      </c>
    </row>
    <row r="155" spans="8:9" ht="15.75" x14ac:dyDescent="0.25">
      <c r="H155" s="20">
        <v>153</v>
      </c>
      <c r="I155" s="36">
        <v>370</v>
      </c>
    </row>
    <row r="156" spans="8:9" ht="15.75" x14ac:dyDescent="0.25">
      <c r="H156" s="20">
        <v>154</v>
      </c>
      <c r="I156" s="36">
        <v>779</v>
      </c>
    </row>
    <row r="157" spans="8:9" ht="15.75" x14ac:dyDescent="0.25">
      <c r="H157" s="20">
        <v>155</v>
      </c>
      <c r="I157" s="36">
        <v>372</v>
      </c>
    </row>
    <row r="158" spans="8:9" ht="15.75" x14ac:dyDescent="0.25">
      <c r="H158" s="20">
        <v>156</v>
      </c>
      <c r="I158" s="36">
        <v>456</v>
      </c>
    </row>
    <row r="159" spans="8:9" ht="15.75" x14ac:dyDescent="0.25">
      <c r="H159" s="20">
        <v>157</v>
      </c>
      <c r="I159" s="36">
        <v>260</v>
      </c>
    </row>
    <row r="160" spans="8:9" ht="15.75" x14ac:dyDescent="0.25">
      <c r="H160" s="20">
        <v>158</v>
      </c>
      <c r="I160" s="36">
        <v>866</v>
      </c>
    </row>
    <row r="161" spans="8:9" ht="15.75" x14ac:dyDescent="0.25">
      <c r="H161" s="20">
        <v>159</v>
      </c>
      <c r="I161" s="36">
        <v>636</v>
      </c>
    </row>
    <row r="162" spans="8:9" ht="15.75" x14ac:dyDescent="0.25">
      <c r="H162" s="20">
        <v>160</v>
      </c>
      <c r="I162" s="36">
        <v>777</v>
      </c>
    </row>
    <row r="163" spans="8:9" ht="15.75" x14ac:dyDescent="0.25">
      <c r="H163" s="20">
        <v>161</v>
      </c>
      <c r="I163" s="36">
        <v>331</v>
      </c>
    </row>
    <row r="164" spans="8:9" ht="15.75" x14ac:dyDescent="0.25">
      <c r="H164" s="20">
        <v>162</v>
      </c>
      <c r="I164" s="36">
        <v>891</v>
      </c>
    </row>
    <row r="165" spans="8:9" ht="15.75" x14ac:dyDescent="0.25">
      <c r="H165" s="20">
        <v>163</v>
      </c>
      <c r="I165" s="36">
        <v>940</v>
      </c>
    </row>
    <row r="166" spans="8:9" ht="15.75" x14ac:dyDescent="0.25">
      <c r="H166" s="20">
        <v>164</v>
      </c>
      <c r="I166" s="36">
        <v>876</v>
      </c>
    </row>
    <row r="167" spans="8:9" ht="15.75" x14ac:dyDescent="0.25">
      <c r="H167" s="20">
        <v>165</v>
      </c>
      <c r="I167" s="36">
        <v>218</v>
      </c>
    </row>
    <row r="168" spans="8:9" ht="15.75" x14ac:dyDescent="0.25">
      <c r="H168" s="20">
        <v>166</v>
      </c>
      <c r="I168" s="36">
        <v>941</v>
      </c>
    </row>
    <row r="169" spans="8:9" ht="15.75" x14ac:dyDescent="0.25">
      <c r="H169" s="20">
        <v>167</v>
      </c>
      <c r="I169" s="36">
        <v>253</v>
      </c>
    </row>
    <row r="170" spans="8:9" ht="15.75" x14ac:dyDescent="0.25">
      <c r="H170" s="20">
        <v>168</v>
      </c>
      <c r="I170" s="36">
        <v>179</v>
      </c>
    </row>
    <row r="171" spans="8:9" ht="15.75" x14ac:dyDescent="0.25">
      <c r="H171" s="20">
        <v>169</v>
      </c>
      <c r="I171" s="36">
        <v>343</v>
      </c>
    </row>
    <row r="172" spans="8:9" ht="15.75" x14ac:dyDescent="0.25">
      <c r="H172" s="20">
        <v>170</v>
      </c>
      <c r="I172" s="36">
        <v>449</v>
      </c>
    </row>
    <row r="173" spans="8:9" ht="15.75" x14ac:dyDescent="0.25">
      <c r="H173" s="20">
        <v>171</v>
      </c>
      <c r="I173" s="36">
        <v>457</v>
      </c>
    </row>
    <row r="174" spans="8:9" ht="15.75" x14ac:dyDescent="0.25">
      <c r="H174" s="20">
        <v>172</v>
      </c>
      <c r="I174" s="36">
        <v>898</v>
      </c>
    </row>
    <row r="175" spans="8:9" ht="15.75" x14ac:dyDescent="0.25">
      <c r="H175" s="20">
        <v>173</v>
      </c>
      <c r="I175" s="36">
        <v>712</v>
      </c>
    </row>
    <row r="176" spans="8:9" ht="15.75" x14ac:dyDescent="0.25">
      <c r="H176" s="20">
        <v>174</v>
      </c>
      <c r="I176" s="36">
        <v>892</v>
      </c>
    </row>
    <row r="177" spans="8:9" ht="15.75" x14ac:dyDescent="0.25">
      <c r="H177" s="20">
        <v>175</v>
      </c>
      <c r="I177" s="36">
        <v>546</v>
      </c>
    </row>
    <row r="178" spans="8:9" ht="15.75" x14ac:dyDescent="0.25">
      <c r="H178" s="20">
        <v>176</v>
      </c>
      <c r="I178" s="36">
        <v>295</v>
      </c>
    </row>
    <row r="179" spans="8:9" ht="15.75" x14ac:dyDescent="0.25">
      <c r="H179" s="20">
        <v>177</v>
      </c>
      <c r="I179" s="36">
        <v>257</v>
      </c>
    </row>
    <row r="180" spans="8:9" ht="15.75" x14ac:dyDescent="0.25">
      <c r="H180" s="20">
        <v>178</v>
      </c>
      <c r="I180" s="36">
        <v>875</v>
      </c>
    </row>
    <row r="181" spans="8:9" ht="15.75" x14ac:dyDescent="0.25">
      <c r="H181" s="20">
        <v>179</v>
      </c>
      <c r="I181" s="36">
        <v>342</v>
      </c>
    </row>
    <row r="182" spans="8:9" ht="15.75" x14ac:dyDescent="0.25">
      <c r="H182" s="20">
        <v>180</v>
      </c>
      <c r="I182" s="36">
        <v>345</v>
      </c>
    </row>
    <row r="183" spans="8:9" ht="15.75" x14ac:dyDescent="0.25">
      <c r="H183" s="20">
        <v>181</v>
      </c>
      <c r="I183" s="36">
        <v>463</v>
      </c>
    </row>
    <row r="184" spans="8:9" ht="15.75" x14ac:dyDescent="0.25">
      <c r="H184" s="20">
        <v>182</v>
      </c>
      <c r="I184" s="36">
        <v>873</v>
      </c>
    </row>
    <row r="185" spans="8:9" ht="15.75" x14ac:dyDescent="0.25">
      <c r="H185" s="20">
        <v>183</v>
      </c>
      <c r="I185" s="36">
        <v>726</v>
      </c>
    </row>
    <row r="186" spans="8:9" ht="15.75" x14ac:dyDescent="0.25">
      <c r="H186" s="20">
        <v>184</v>
      </c>
      <c r="I186" s="36">
        <v>339</v>
      </c>
    </row>
    <row r="187" spans="8:9" ht="15.75" x14ac:dyDescent="0.25">
      <c r="H187" s="20">
        <v>185</v>
      </c>
      <c r="I187" s="36">
        <v>289</v>
      </c>
    </row>
    <row r="188" spans="8:9" ht="15.75" x14ac:dyDescent="0.25">
      <c r="H188" s="20">
        <v>186</v>
      </c>
      <c r="I188" s="36">
        <v>258</v>
      </c>
    </row>
    <row r="189" spans="8:9" ht="15.75" x14ac:dyDescent="0.25">
      <c r="H189" s="20">
        <v>187</v>
      </c>
      <c r="I189" s="36">
        <v>404</v>
      </c>
    </row>
    <row r="190" spans="8:9" ht="15.75" x14ac:dyDescent="0.25">
      <c r="H190" s="20">
        <v>188</v>
      </c>
      <c r="I190" s="36">
        <v>308</v>
      </c>
    </row>
    <row r="191" spans="8:9" ht="15.75" x14ac:dyDescent="0.25">
      <c r="H191" s="20">
        <v>189</v>
      </c>
      <c r="I191" s="36">
        <v>263</v>
      </c>
    </row>
    <row r="192" spans="8:9" ht="15.75" x14ac:dyDescent="0.25">
      <c r="H192" s="20">
        <v>190</v>
      </c>
      <c r="I192" s="36">
        <v>265</v>
      </c>
    </row>
    <row r="193" spans="8:9" ht="15.75" x14ac:dyDescent="0.25">
      <c r="H193" s="20">
        <v>191</v>
      </c>
      <c r="I193" s="36">
        <v>509</v>
      </c>
    </row>
    <row r="194" spans="8:9" ht="15.75" x14ac:dyDescent="0.25">
      <c r="H194" s="20">
        <v>192</v>
      </c>
      <c r="I194" s="36">
        <v>460</v>
      </c>
    </row>
    <row r="195" spans="8:9" ht="15.75" x14ac:dyDescent="0.25">
      <c r="H195" s="20">
        <v>193</v>
      </c>
      <c r="I195" s="36">
        <v>354</v>
      </c>
    </row>
    <row r="196" spans="8:9" ht="15.75" x14ac:dyDescent="0.25">
      <c r="H196" s="20">
        <v>194</v>
      </c>
      <c r="I196" s="36">
        <v>923</v>
      </c>
    </row>
    <row r="197" spans="8:9" ht="15.75" x14ac:dyDescent="0.25">
      <c r="H197" s="20">
        <v>195</v>
      </c>
      <c r="I197" s="36">
        <v>671</v>
      </c>
    </row>
    <row r="198" spans="8:9" ht="15.75" x14ac:dyDescent="0.25">
      <c r="H198" s="20">
        <v>196</v>
      </c>
      <c r="I198" s="36">
        <v>209</v>
      </c>
    </row>
    <row r="199" spans="8:9" ht="15.75" x14ac:dyDescent="0.25">
      <c r="H199" s="20">
        <v>197</v>
      </c>
      <c r="I199" s="36">
        <v>631</v>
      </c>
    </row>
    <row r="200" spans="8:9" ht="15.75" x14ac:dyDescent="0.25">
      <c r="H200" s="20">
        <v>198</v>
      </c>
      <c r="I200" s="36">
        <v>504</v>
      </c>
    </row>
    <row r="201" spans="8:9" ht="15.75" x14ac:dyDescent="0.25">
      <c r="H201" s="20">
        <v>199</v>
      </c>
      <c r="I201" s="36">
        <v>236</v>
      </c>
    </row>
    <row r="202" spans="8:9" ht="15.75" x14ac:dyDescent="0.25">
      <c r="H202" s="20">
        <v>200</v>
      </c>
      <c r="I202" s="36">
        <v>794</v>
      </c>
    </row>
    <row r="203" spans="8:9" ht="15.75" x14ac:dyDescent="0.25">
      <c r="H203" s="20">
        <v>201</v>
      </c>
      <c r="I203" s="36">
        <v>244</v>
      </c>
    </row>
    <row r="204" spans="8:9" ht="15.75" x14ac:dyDescent="0.25">
      <c r="H204" s="20">
        <v>202</v>
      </c>
      <c r="I204" s="36">
        <v>677</v>
      </c>
    </row>
    <row r="205" spans="8:9" ht="15.75" x14ac:dyDescent="0.25">
      <c r="H205" s="20">
        <v>203</v>
      </c>
      <c r="I205" s="36">
        <v>395</v>
      </c>
    </row>
    <row r="206" spans="8:9" ht="15.75" x14ac:dyDescent="0.25">
      <c r="H206" s="20">
        <v>204</v>
      </c>
      <c r="I206" s="36">
        <v>421</v>
      </c>
    </row>
    <row r="207" spans="8:9" ht="15.75" x14ac:dyDescent="0.25">
      <c r="H207" s="20">
        <v>205</v>
      </c>
      <c r="I207" s="36">
        <v>429</v>
      </c>
    </row>
    <row r="208" spans="8:9" ht="15.75" x14ac:dyDescent="0.25">
      <c r="H208" s="20">
        <v>206</v>
      </c>
      <c r="I208" s="36">
        <v>883</v>
      </c>
    </row>
    <row r="209" spans="8:9" ht="15.75" x14ac:dyDescent="0.25">
      <c r="H209" s="20">
        <v>207</v>
      </c>
      <c r="I209" s="36">
        <v>467</v>
      </c>
    </row>
    <row r="210" spans="8:9" ht="15.75" x14ac:dyDescent="0.25">
      <c r="H210" s="20">
        <v>208</v>
      </c>
      <c r="I210" s="36">
        <v>233</v>
      </c>
    </row>
    <row r="211" spans="8:9" ht="15.75" x14ac:dyDescent="0.25">
      <c r="H211" s="20">
        <v>209</v>
      </c>
      <c r="I211" s="36">
        <v>725</v>
      </c>
    </row>
    <row r="212" spans="8:9" ht="15.75" x14ac:dyDescent="0.25">
      <c r="H212" s="20">
        <v>210</v>
      </c>
      <c r="I212" s="36">
        <v>321</v>
      </c>
    </row>
    <row r="213" spans="8:9" ht="15.75" x14ac:dyDescent="0.25">
      <c r="H213" s="20">
        <v>211</v>
      </c>
      <c r="I213" s="36">
        <v>882</v>
      </c>
    </row>
    <row r="214" spans="8:9" ht="15.75" x14ac:dyDescent="0.25">
      <c r="H214" s="20">
        <v>212</v>
      </c>
      <c r="I214" s="36">
        <v>265</v>
      </c>
    </row>
    <row r="215" spans="8:9" ht="15.75" x14ac:dyDescent="0.25">
      <c r="H215" s="20">
        <v>213</v>
      </c>
      <c r="I215" s="36">
        <v>442</v>
      </c>
    </row>
    <row r="216" spans="8:9" ht="15.75" x14ac:dyDescent="0.25">
      <c r="H216" s="20">
        <v>214</v>
      </c>
      <c r="I216" s="36">
        <v>766</v>
      </c>
    </row>
    <row r="217" spans="8:9" ht="15.75" x14ac:dyDescent="0.25">
      <c r="H217" s="20">
        <v>215</v>
      </c>
      <c r="I217" s="36">
        <v>729</v>
      </c>
    </row>
    <row r="218" spans="8:9" ht="15.75" x14ac:dyDescent="0.25">
      <c r="H218" s="20">
        <v>216</v>
      </c>
      <c r="I218" s="36">
        <v>908</v>
      </c>
    </row>
    <row r="219" spans="8:9" ht="15.75" x14ac:dyDescent="0.25">
      <c r="H219" s="20">
        <v>217</v>
      </c>
      <c r="I219" s="36">
        <v>957</v>
      </c>
    </row>
    <row r="220" spans="8:9" ht="15.75" x14ac:dyDescent="0.25">
      <c r="H220" s="20">
        <v>218</v>
      </c>
      <c r="I220" s="36">
        <v>615</v>
      </c>
    </row>
    <row r="221" spans="8:9" ht="15.75" x14ac:dyDescent="0.25">
      <c r="H221" s="20">
        <v>219</v>
      </c>
      <c r="I221" s="36">
        <v>587</v>
      </c>
    </row>
    <row r="222" spans="8:9" ht="15.75" x14ac:dyDescent="0.25">
      <c r="H222" s="20">
        <v>220</v>
      </c>
      <c r="I222" s="36">
        <v>853</v>
      </c>
    </row>
    <row r="223" spans="8:9" ht="15.75" x14ac:dyDescent="0.25">
      <c r="H223" s="20">
        <v>221</v>
      </c>
      <c r="I223" s="36">
        <v>527</v>
      </c>
    </row>
    <row r="224" spans="8:9" ht="15.75" x14ac:dyDescent="0.25">
      <c r="H224" s="20">
        <v>222</v>
      </c>
      <c r="I224" s="36">
        <v>434</v>
      </c>
    </row>
    <row r="225" spans="8:9" ht="15.75" x14ac:dyDescent="0.25">
      <c r="H225" s="20">
        <v>223</v>
      </c>
      <c r="I225" s="36">
        <v>403</v>
      </c>
    </row>
    <row r="226" spans="8:9" ht="15.75" x14ac:dyDescent="0.25">
      <c r="H226" s="20">
        <v>224</v>
      </c>
      <c r="I226" s="36">
        <v>418</v>
      </c>
    </row>
    <row r="227" spans="8:9" ht="15.75" x14ac:dyDescent="0.25">
      <c r="H227" s="20">
        <v>225</v>
      </c>
      <c r="I227" s="36">
        <v>593</v>
      </c>
    </row>
    <row r="228" spans="8:9" ht="15.75" x14ac:dyDescent="0.25">
      <c r="H228" s="20">
        <v>226</v>
      </c>
      <c r="I228" s="36">
        <v>411</v>
      </c>
    </row>
    <row r="229" spans="8:9" ht="15.75" x14ac:dyDescent="0.25">
      <c r="H229" s="20">
        <v>227</v>
      </c>
      <c r="I229" s="36">
        <v>753</v>
      </c>
    </row>
    <row r="230" spans="8:9" ht="15.75" x14ac:dyDescent="0.25">
      <c r="H230" s="20">
        <v>228</v>
      </c>
      <c r="I230" s="36">
        <v>388</v>
      </c>
    </row>
    <row r="231" spans="8:9" ht="15.75" x14ac:dyDescent="0.25">
      <c r="H231" s="20">
        <v>229</v>
      </c>
      <c r="I231" s="36">
        <v>962</v>
      </c>
    </row>
    <row r="232" spans="8:9" ht="15.75" x14ac:dyDescent="0.25">
      <c r="H232" s="20">
        <v>230</v>
      </c>
      <c r="I232" s="36">
        <v>804</v>
      </c>
    </row>
    <row r="233" spans="8:9" ht="15.75" x14ac:dyDescent="0.25">
      <c r="H233" s="20">
        <v>231</v>
      </c>
      <c r="I233" s="36">
        <v>931</v>
      </c>
    </row>
    <row r="234" spans="8:9" ht="15.75" x14ac:dyDescent="0.25">
      <c r="H234" s="20">
        <v>232</v>
      </c>
      <c r="I234" s="36">
        <v>972</v>
      </c>
    </row>
    <row r="235" spans="8:9" ht="15.75" x14ac:dyDescent="0.25">
      <c r="H235" s="20">
        <v>233</v>
      </c>
      <c r="I235" s="36">
        <v>710</v>
      </c>
    </row>
    <row r="236" spans="8:9" ht="15.75" x14ac:dyDescent="0.25">
      <c r="H236" s="20">
        <v>234</v>
      </c>
      <c r="I236" s="36">
        <v>698</v>
      </c>
    </row>
    <row r="237" spans="8:9" ht="15.75" x14ac:dyDescent="0.25">
      <c r="H237" s="20">
        <v>235</v>
      </c>
      <c r="I237" s="36">
        <v>506</v>
      </c>
    </row>
    <row r="238" spans="8:9" ht="15.75" x14ac:dyDescent="0.25">
      <c r="H238" s="20">
        <v>236</v>
      </c>
      <c r="I238" s="36">
        <v>589</v>
      </c>
    </row>
    <row r="239" spans="8:9" ht="15.75" x14ac:dyDescent="0.25">
      <c r="H239" s="20">
        <v>237</v>
      </c>
      <c r="I239" s="36">
        <v>839</v>
      </c>
    </row>
    <row r="240" spans="8:9" ht="15.75" x14ac:dyDescent="0.25">
      <c r="H240" s="20">
        <v>238</v>
      </c>
      <c r="I240" s="36">
        <v>695</v>
      </c>
    </row>
    <row r="241" spans="8:9" ht="15.75" x14ac:dyDescent="0.25">
      <c r="H241" s="20">
        <v>239</v>
      </c>
      <c r="I241" s="36">
        <v>263</v>
      </c>
    </row>
    <row r="242" spans="8:9" ht="15.75" x14ac:dyDescent="0.25">
      <c r="H242" s="20">
        <v>240</v>
      </c>
      <c r="I242" s="36">
        <v>222</v>
      </c>
    </row>
    <row r="243" spans="8:9" ht="15.75" x14ac:dyDescent="0.25">
      <c r="H243" s="20">
        <v>241</v>
      </c>
      <c r="I243" s="36">
        <v>783</v>
      </c>
    </row>
    <row r="244" spans="8:9" ht="15.75" x14ac:dyDescent="0.25">
      <c r="H244" s="20">
        <v>242</v>
      </c>
      <c r="I244" s="36">
        <v>556</v>
      </c>
    </row>
    <row r="245" spans="8:9" ht="15.75" x14ac:dyDescent="0.25">
      <c r="H245" s="20">
        <v>243</v>
      </c>
      <c r="I245" s="36">
        <v>886</v>
      </c>
    </row>
    <row r="246" spans="8:9" ht="15.75" x14ac:dyDescent="0.25">
      <c r="H246" s="20">
        <v>244</v>
      </c>
      <c r="I246" s="36">
        <v>717</v>
      </c>
    </row>
    <row r="247" spans="8:9" ht="15.75" x14ac:dyDescent="0.25">
      <c r="H247" s="20">
        <v>245</v>
      </c>
      <c r="I247" s="36">
        <v>946</v>
      </c>
    </row>
    <row r="248" spans="8:9" ht="15.75" x14ac:dyDescent="0.25">
      <c r="H248" s="20">
        <v>246</v>
      </c>
      <c r="I248" s="36">
        <v>577</v>
      </c>
    </row>
    <row r="249" spans="8:9" ht="15.75" x14ac:dyDescent="0.25">
      <c r="H249" s="20">
        <v>247</v>
      </c>
      <c r="I249" s="36">
        <v>365</v>
      </c>
    </row>
    <row r="250" spans="8:9" ht="15.75" x14ac:dyDescent="0.25">
      <c r="H250" s="20">
        <v>248</v>
      </c>
      <c r="I250" s="36">
        <v>778</v>
      </c>
    </row>
    <row r="251" spans="8:9" ht="15.75" x14ac:dyDescent="0.25">
      <c r="H251" s="20">
        <v>249</v>
      </c>
      <c r="I251" s="36">
        <v>532</v>
      </c>
    </row>
    <row r="252" spans="8:9" ht="15.75" x14ac:dyDescent="0.25">
      <c r="H252" s="20">
        <v>250</v>
      </c>
      <c r="I252" s="36">
        <v>329</v>
      </c>
    </row>
    <row r="253" spans="8:9" ht="15.75" x14ac:dyDescent="0.25">
      <c r="H253" s="20">
        <v>251</v>
      </c>
      <c r="I253" s="36">
        <v>330</v>
      </c>
    </row>
    <row r="254" spans="8:9" ht="15.75" x14ac:dyDescent="0.25">
      <c r="H254" s="20">
        <v>252</v>
      </c>
      <c r="I254" s="36">
        <v>368</v>
      </c>
    </row>
    <row r="255" spans="8:9" ht="15.75" x14ac:dyDescent="0.25">
      <c r="H255" s="20">
        <v>253</v>
      </c>
      <c r="I255" s="36">
        <v>793</v>
      </c>
    </row>
    <row r="256" spans="8:9" ht="15.75" x14ac:dyDescent="0.25">
      <c r="H256" s="20">
        <v>254</v>
      </c>
      <c r="I256" s="36">
        <v>910</v>
      </c>
    </row>
    <row r="257" spans="8:9" ht="15.75" x14ac:dyDescent="0.25">
      <c r="H257" s="20">
        <v>255</v>
      </c>
      <c r="I257" s="36">
        <v>828</v>
      </c>
    </row>
    <row r="258" spans="8:9" ht="15.75" x14ac:dyDescent="0.25">
      <c r="H258" s="20">
        <v>256</v>
      </c>
      <c r="I258" s="36">
        <v>739</v>
      </c>
    </row>
    <row r="259" spans="8:9" ht="15.75" x14ac:dyDescent="0.25">
      <c r="H259" s="20">
        <v>257</v>
      </c>
      <c r="I259" s="36">
        <v>758</v>
      </c>
    </row>
    <row r="260" spans="8:9" ht="15.75" x14ac:dyDescent="0.25">
      <c r="H260" s="20">
        <v>258</v>
      </c>
      <c r="I260" s="36">
        <v>270</v>
      </c>
    </row>
    <row r="261" spans="8:9" ht="15.75" x14ac:dyDescent="0.25">
      <c r="H261" s="20">
        <v>259</v>
      </c>
      <c r="I261" s="36">
        <v>840</v>
      </c>
    </row>
    <row r="262" spans="8:9" ht="15.75" x14ac:dyDescent="0.25">
      <c r="H262" s="20">
        <v>260</v>
      </c>
      <c r="I262" s="36">
        <v>258</v>
      </c>
    </row>
    <row r="263" spans="8:9" ht="15.75" x14ac:dyDescent="0.25">
      <c r="H263" s="20">
        <v>261</v>
      </c>
      <c r="I263" s="36">
        <v>824</v>
      </c>
    </row>
    <row r="264" spans="8:9" ht="15.75" x14ac:dyDescent="0.25">
      <c r="H264" s="20">
        <v>262</v>
      </c>
      <c r="I264" s="36">
        <v>571</v>
      </c>
    </row>
    <row r="265" spans="8:9" ht="15.75" x14ac:dyDescent="0.25">
      <c r="H265" s="20">
        <v>263</v>
      </c>
      <c r="I265" s="36">
        <v>561</v>
      </c>
    </row>
    <row r="266" spans="8:9" ht="15.75" x14ac:dyDescent="0.25">
      <c r="H266" s="20">
        <v>264</v>
      </c>
      <c r="I266" s="36">
        <v>547</v>
      </c>
    </row>
    <row r="267" spans="8:9" ht="15.75" x14ac:dyDescent="0.25">
      <c r="H267" s="20">
        <v>265</v>
      </c>
      <c r="I267" s="36">
        <v>776</v>
      </c>
    </row>
    <row r="268" spans="8:9" ht="15.75" x14ac:dyDescent="0.25">
      <c r="H268" s="20">
        <v>266</v>
      </c>
      <c r="I268" s="36">
        <v>964</v>
      </c>
    </row>
    <row r="269" spans="8:9" ht="15.75" x14ac:dyDescent="0.25">
      <c r="H269" s="20">
        <v>267</v>
      </c>
      <c r="I269" s="36">
        <v>595</v>
      </c>
    </row>
    <row r="270" spans="8:9" ht="15.75" x14ac:dyDescent="0.25">
      <c r="H270" s="20">
        <v>268</v>
      </c>
      <c r="I270" s="36">
        <v>698</v>
      </c>
    </row>
    <row r="271" spans="8:9" ht="15.75" x14ac:dyDescent="0.25">
      <c r="H271" s="20">
        <v>269</v>
      </c>
      <c r="I271" s="36">
        <v>657</v>
      </c>
    </row>
    <row r="272" spans="8:9" ht="15.75" x14ac:dyDescent="0.25">
      <c r="H272" s="20">
        <v>270</v>
      </c>
      <c r="I272" s="36">
        <v>898</v>
      </c>
    </row>
    <row r="273" spans="8:9" ht="15.75" x14ac:dyDescent="0.25">
      <c r="H273" s="20">
        <v>271</v>
      </c>
      <c r="I273" s="36">
        <v>792</v>
      </c>
    </row>
    <row r="274" spans="8:9" ht="15.75" x14ac:dyDescent="0.25">
      <c r="H274" s="20">
        <v>272</v>
      </c>
      <c r="I274" s="36">
        <v>381</v>
      </c>
    </row>
    <row r="275" spans="8:9" ht="15.75" x14ac:dyDescent="0.25">
      <c r="H275" s="20">
        <v>273</v>
      </c>
      <c r="I275" s="36">
        <v>556</v>
      </c>
    </row>
    <row r="276" spans="8:9" ht="15.75" x14ac:dyDescent="0.25">
      <c r="H276" s="20">
        <v>274</v>
      </c>
      <c r="I276" s="36">
        <v>362</v>
      </c>
    </row>
    <row r="277" spans="8:9" ht="15.75" x14ac:dyDescent="0.25">
      <c r="H277" s="20">
        <v>275</v>
      </c>
      <c r="I277" s="36">
        <v>223</v>
      </c>
    </row>
    <row r="278" spans="8:9" ht="15.75" x14ac:dyDescent="0.25">
      <c r="H278" s="20">
        <v>276</v>
      </c>
      <c r="I278" s="36">
        <v>600</v>
      </c>
    </row>
    <row r="279" spans="8:9" ht="15.75" x14ac:dyDescent="0.25">
      <c r="H279" s="20">
        <v>277</v>
      </c>
      <c r="I279" s="36">
        <v>396</v>
      </c>
    </row>
    <row r="280" spans="8:9" ht="15.75" x14ac:dyDescent="0.25">
      <c r="H280" s="20">
        <v>278</v>
      </c>
      <c r="I280" s="36">
        <v>908</v>
      </c>
    </row>
    <row r="281" spans="8:9" ht="15.75" x14ac:dyDescent="0.25">
      <c r="H281" s="20">
        <v>279</v>
      </c>
      <c r="I281" s="36">
        <v>927</v>
      </c>
    </row>
    <row r="282" spans="8:9" ht="15.75" x14ac:dyDescent="0.25">
      <c r="H282" s="20">
        <v>280</v>
      </c>
      <c r="I282" s="36">
        <v>340</v>
      </c>
    </row>
    <row r="283" spans="8:9" ht="15.75" x14ac:dyDescent="0.25">
      <c r="H283" s="20">
        <v>281</v>
      </c>
      <c r="I283" s="36">
        <v>478</v>
      </c>
    </row>
    <row r="284" spans="8:9" ht="15.75" x14ac:dyDescent="0.25">
      <c r="H284" s="20">
        <v>282</v>
      </c>
      <c r="I284" s="36">
        <v>960</v>
      </c>
    </row>
    <row r="285" spans="8:9" ht="15.75" x14ac:dyDescent="0.25">
      <c r="H285" s="20">
        <v>283</v>
      </c>
      <c r="I285" s="36">
        <v>794</v>
      </c>
    </row>
    <row r="286" spans="8:9" ht="15.75" x14ac:dyDescent="0.25">
      <c r="H286" s="20">
        <v>284</v>
      </c>
      <c r="I286" s="36">
        <v>753</v>
      </c>
    </row>
    <row r="287" spans="8:9" ht="15.75" x14ac:dyDescent="0.25">
      <c r="H287" s="20">
        <v>285</v>
      </c>
      <c r="I287" s="36">
        <v>282</v>
      </c>
    </row>
    <row r="288" spans="8:9" ht="15.75" x14ac:dyDescent="0.25">
      <c r="H288" s="20">
        <v>286</v>
      </c>
      <c r="I288" s="36">
        <v>494</v>
      </c>
    </row>
    <row r="289" spans="8:9" ht="15.75" x14ac:dyDescent="0.25">
      <c r="H289" s="20">
        <v>287</v>
      </c>
      <c r="I289" s="36">
        <v>648</v>
      </c>
    </row>
    <row r="290" spans="8:9" ht="15.75" x14ac:dyDescent="0.25">
      <c r="H290" s="20">
        <v>288</v>
      </c>
      <c r="I290" s="36">
        <v>474</v>
      </c>
    </row>
    <row r="291" spans="8:9" ht="15.75" x14ac:dyDescent="0.25">
      <c r="H291" s="20">
        <v>289</v>
      </c>
      <c r="I291" s="36">
        <v>774</v>
      </c>
    </row>
    <row r="292" spans="8:9" ht="15.75" x14ac:dyDescent="0.25">
      <c r="H292" s="20">
        <v>290</v>
      </c>
      <c r="I292" s="36">
        <v>458</v>
      </c>
    </row>
    <row r="293" spans="8:9" ht="15.75" x14ac:dyDescent="0.25">
      <c r="H293" s="20">
        <v>291</v>
      </c>
      <c r="I293" s="36">
        <v>617</v>
      </c>
    </row>
    <row r="294" spans="8:9" ht="15.75" x14ac:dyDescent="0.25">
      <c r="H294" s="20">
        <v>292</v>
      </c>
      <c r="I294" s="36">
        <v>478</v>
      </c>
    </row>
    <row r="295" spans="8:9" ht="15.75" x14ac:dyDescent="0.25">
      <c r="H295" s="20">
        <v>293</v>
      </c>
      <c r="I295" s="36">
        <v>356</v>
      </c>
    </row>
    <row r="296" spans="8:9" ht="15.75" x14ac:dyDescent="0.25">
      <c r="H296" s="20">
        <v>294</v>
      </c>
      <c r="I296" s="36">
        <v>537</v>
      </c>
    </row>
    <row r="297" spans="8:9" ht="15.75" x14ac:dyDescent="0.25">
      <c r="H297" s="20">
        <v>295</v>
      </c>
      <c r="I297" s="36">
        <v>764</v>
      </c>
    </row>
    <row r="298" spans="8:9" ht="15.75" x14ac:dyDescent="0.25">
      <c r="H298" s="20">
        <v>296</v>
      </c>
      <c r="I298" s="36">
        <v>237</v>
      </c>
    </row>
    <row r="299" spans="8:9" ht="15.75" x14ac:dyDescent="0.25">
      <c r="H299" s="20">
        <v>297</v>
      </c>
      <c r="I299" s="36">
        <v>574</v>
      </c>
    </row>
    <row r="300" spans="8:9" ht="15.75" x14ac:dyDescent="0.25">
      <c r="H300" s="20">
        <v>298</v>
      </c>
      <c r="I300" s="36">
        <v>378</v>
      </c>
    </row>
    <row r="301" spans="8:9" ht="15.75" x14ac:dyDescent="0.25">
      <c r="H301" s="20">
        <v>299</v>
      </c>
      <c r="I301" s="36">
        <v>616</v>
      </c>
    </row>
    <row r="302" spans="8:9" ht="15.75" x14ac:dyDescent="0.25">
      <c r="H302" s="20">
        <v>300</v>
      </c>
      <c r="I302" s="36">
        <v>560</v>
      </c>
    </row>
    <row r="303" spans="8:9" ht="15.75" x14ac:dyDescent="0.25">
      <c r="H303" s="20">
        <v>301</v>
      </c>
      <c r="I303" s="36">
        <v>360</v>
      </c>
    </row>
    <row r="304" spans="8:9" ht="15.75" x14ac:dyDescent="0.25">
      <c r="H304" s="20">
        <v>302</v>
      </c>
      <c r="I304" s="36">
        <v>857</v>
      </c>
    </row>
    <row r="305" spans="8:9" ht="15.75" x14ac:dyDescent="0.25">
      <c r="H305" s="20">
        <v>303</v>
      </c>
      <c r="I305" s="36">
        <v>394</v>
      </c>
    </row>
    <row r="306" spans="8:9" ht="15.75" x14ac:dyDescent="0.25">
      <c r="H306" s="20">
        <v>304</v>
      </c>
      <c r="I306" s="36">
        <v>890</v>
      </c>
    </row>
    <row r="307" spans="8:9" ht="15.75" x14ac:dyDescent="0.25">
      <c r="H307" s="20">
        <v>305</v>
      </c>
      <c r="I307" s="36">
        <v>443</v>
      </c>
    </row>
    <row r="308" spans="8:9" ht="15.75" x14ac:dyDescent="0.25">
      <c r="H308" s="20">
        <v>306</v>
      </c>
      <c r="I308" s="36">
        <v>239</v>
      </c>
    </row>
    <row r="309" spans="8:9" ht="15.75" x14ac:dyDescent="0.25">
      <c r="H309" s="20">
        <v>307</v>
      </c>
      <c r="I309" s="36">
        <v>632</v>
      </c>
    </row>
    <row r="310" spans="8:9" ht="15.75" x14ac:dyDescent="0.25">
      <c r="H310" s="20">
        <v>308</v>
      </c>
      <c r="I310" s="36">
        <v>422</v>
      </c>
    </row>
    <row r="311" spans="8:9" ht="15.75" x14ac:dyDescent="0.25">
      <c r="H311" s="20">
        <v>309</v>
      </c>
      <c r="I311" s="36">
        <v>547</v>
      </c>
    </row>
    <row r="312" spans="8:9" ht="15.75" x14ac:dyDescent="0.25">
      <c r="H312" s="20">
        <v>310</v>
      </c>
      <c r="I312" s="36">
        <v>728</v>
      </c>
    </row>
    <row r="313" spans="8:9" ht="15.75" x14ac:dyDescent="0.25">
      <c r="H313" s="20">
        <v>311</v>
      </c>
      <c r="I313" s="36">
        <v>850</v>
      </c>
    </row>
    <row r="314" spans="8:9" ht="15.75" x14ac:dyDescent="0.25">
      <c r="H314" s="20">
        <v>312</v>
      </c>
      <c r="I314" s="36">
        <v>279</v>
      </c>
    </row>
    <row r="315" spans="8:9" ht="15.75" x14ac:dyDescent="0.25">
      <c r="H315" s="20">
        <v>313</v>
      </c>
      <c r="I315" s="36">
        <v>509</v>
      </c>
    </row>
    <row r="316" spans="8:9" ht="15.75" x14ac:dyDescent="0.25">
      <c r="H316" s="20">
        <v>314</v>
      </c>
      <c r="I316" s="36">
        <v>955</v>
      </c>
    </row>
    <row r="317" spans="8:9" ht="15.75" x14ac:dyDescent="0.25">
      <c r="H317" s="20">
        <v>315</v>
      </c>
      <c r="I317" s="36">
        <v>727</v>
      </c>
    </row>
    <row r="318" spans="8:9" ht="15.75" x14ac:dyDescent="0.25">
      <c r="H318" s="20">
        <v>316</v>
      </c>
      <c r="I318" s="36">
        <v>901</v>
      </c>
    </row>
    <row r="319" spans="8:9" ht="15.75" x14ac:dyDescent="0.25">
      <c r="H319" s="20">
        <v>317</v>
      </c>
      <c r="I319" s="36">
        <v>626</v>
      </c>
    </row>
    <row r="320" spans="8:9" ht="15.75" x14ac:dyDescent="0.25">
      <c r="H320" s="20">
        <v>318</v>
      </c>
      <c r="I320" s="36">
        <v>750</v>
      </c>
    </row>
    <row r="321" spans="8:9" ht="15.75" x14ac:dyDescent="0.25">
      <c r="H321" s="20">
        <v>319</v>
      </c>
      <c r="I321" s="36">
        <v>641</v>
      </c>
    </row>
    <row r="322" spans="8:9" ht="15.75" x14ac:dyDescent="0.25">
      <c r="H322" s="20">
        <v>320</v>
      </c>
      <c r="I322" s="36">
        <v>720</v>
      </c>
    </row>
    <row r="323" spans="8:9" ht="15.75" x14ac:dyDescent="0.25">
      <c r="H323" s="20">
        <v>321</v>
      </c>
      <c r="I323" s="36">
        <v>610</v>
      </c>
    </row>
    <row r="324" spans="8:9" ht="15.75" x14ac:dyDescent="0.25">
      <c r="H324" s="20">
        <v>322</v>
      </c>
      <c r="I324" s="36">
        <v>820</v>
      </c>
    </row>
    <row r="325" spans="8:9" ht="15.75" x14ac:dyDescent="0.25">
      <c r="H325" s="20">
        <v>323</v>
      </c>
      <c r="I325" s="36">
        <v>915</v>
      </c>
    </row>
    <row r="326" spans="8:9" ht="15.75" x14ac:dyDescent="0.25">
      <c r="H326" s="20">
        <v>324</v>
      </c>
      <c r="I326" s="36">
        <v>823</v>
      </c>
    </row>
    <row r="327" spans="8:9" ht="15.75" x14ac:dyDescent="0.25">
      <c r="H327" s="20">
        <v>325</v>
      </c>
      <c r="I327" s="36">
        <v>743</v>
      </c>
    </row>
    <row r="328" spans="8:9" ht="15.75" x14ac:dyDescent="0.25">
      <c r="H328" s="20">
        <v>326</v>
      </c>
      <c r="I328" s="36">
        <v>643</v>
      </c>
    </row>
    <row r="329" spans="8:9" ht="15.75" x14ac:dyDescent="0.25">
      <c r="H329" s="20">
        <v>327</v>
      </c>
      <c r="I329" s="36">
        <v>621</v>
      </c>
    </row>
    <row r="330" spans="8:9" ht="15.75" x14ac:dyDescent="0.25">
      <c r="H330" s="20">
        <v>328</v>
      </c>
      <c r="I330" s="36">
        <v>871</v>
      </c>
    </row>
    <row r="331" spans="8:9" ht="15.75" x14ac:dyDescent="0.25">
      <c r="H331" s="20">
        <v>329</v>
      </c>
      <c r="I331" s="36">
        <v>561</v>
      </c>
    </row>
    <row r="332" spans="8:9" ht="15.75" x14ac:dyDescent="0.25">
      <c r="H332" s="20">
        <v>330</v>
      </c>
      <c r="I332" s="36">
        <v>881</v>
      </c>
    </row>
    <row r="333" spans="8:9" ht="15.75" x14ac:dyDescent="0.25">
      <c r="H333" s="20">
        <v>331</v>
      </c>
      <c r="I333" s="36">
        <v>271</v>
      </c>
    </row>
    <row r="334" spans="8:9" ht="15.75" x14ac:dyDescent="0.25">
      <c r="H334" s="20">
        <v>332</v>
      </c>
      <c r="I334" s="36">
        <v>824</v>
      </c>
    </row>
    <row r="335" spans="8:9" ht="15.75" x14ac:dyDescent="0.25">
      <c r="H335" s="20">
        <v>333</v>
      </c>
      <c r="I335" s="36">
        <v>482</v>
      </c>
    </row>
    <row r="336" spans="8:9" ht="15.75" x14ac:dyDescent="0.25">
      <c r="H336" s="20">
        <v>334</v>
      </c>
      <c r="I336" s="36">
        <v>790</v>
      </c>
    </row>
    <row r="337" spans="8:9" ht="15.75" x14ac:dyDescent="0.25">
      <c r="H337" s="20">
        <v>335</v>
      </c>
      <c r="I337" s="36">
        <v>221</v>
      </c>
    </row>
    <row r="338" spans="8:9" ht="15.75" x14ac:dyDescent="0.25">
      <c r="H338" s="20">
        <v>336</v>
      </c>
      <c r="I338" s="36">
        <v>580</v>
      </c>
    </row>
    <row r="339" spans="8:9" ht="15.75" x14ac:dyDescent="0.25">
      <c r="H339" s="20">
        <v>337</v>
      </c>
      <c r="I339" s="36">
        <v>312</v>
      </c>
    </row>
    <row r="340" spans="8:9" ht="15.75" x14ac:dyDescent="0.25">
      <c r="H340" s="20">
        <v>338</v>
      </c>
      <c r="I340" s="36">
        <v>313</v>
      </c>
    </row>
    <row r="341" spans="8:9" ht="15.75" x14ac:dyDescent="0.25">
      <c r="H341" s="20">
        <v>339</v>
      </c>
      <c r="I341" s="36">
        <v>793</v>
      </c>
    </row>
    <row r="342" spans="8:9" ht="15.75" x14ac:dyDescent="0.25">
      <c r="H342" s="20">
        <v>340</v>
      </c>
      <c r="I342" s="36">
        <v>473</v>
      </c>
    </row>
    <row r="343" spans="8:9" ht="15.75" x14ac:dyDescent="0.25">
      <c r="H343" s="20">
        <v>341</v>
      </c>
      <c r="I343" s="36">
        <v>440</v>
      </c>
    </row>
    <row r="344" spans="8:9" ht="15.75" x14ac:dyDescent="0.25">
      <c r="H344" s="20">
        <v>342</v>
      </c>
      <c r="I344" s="36">
        <v>415</v>
      </c>
    </row>
    <row r="345" spans="8:9" ht="15.75" x14ac:dyDescent="0.25">
      <c r="H345" s="20">
        <v>343</v>
      </c>
      <c r="I345" s="36">
        <v>881</v>
      </c>
    </row>
    <row r="346" spans="8:9" ht="15.75" x14ac:dyDescent="0.25">
      <c r="H346" s="20">
        <v>344</v>
      </c>
      <c r="I346" s="36">
        <v>802</v>
      </c>
    </row>
    <row r="347" spans="8:9" ht="15.75" x14ac:dyDescent="0.25">
      <c r="H347" s="20">
        <v>345</v>
      </c>
      <c r="I347" s="36">
        <v>230</v>
      </c>
    </row>
    <row r="348" spans="8:9" ht="15.75" x14ac:dyDescent="0.25">
      <c r="H348" s="20">
        <v>346</v>
      </c>
      <c r="I348" s="36">
        <v>781</v>
      </c>
    </row>
    <row r="349" spans="8:9" ht="15.75" x14ac:dyDescent="0.25">
      <c r="H349" s="20">
        <v>347</v>
      </c>
      <c r="I349" s="36">
        <v>385</v>
      </c>
    </row>
    <row r="350" spans="8:9" ht="15.75" x14ac:dyDescent="0.25">
      <c r="H350" s="20">
        <v>348</v>
      </c>
      <c r="I350" s="36">
        <v>341</v>
      </c>
    </row>
    <row r="351" spans="8:9" ht="15.75" x14ac:dyDescent="0.25">
      <c r="H351" s="20">
        <v>349</v>
      </c>
      <c r="I351" s="36">
        <v>681</v>
      </c>
    </row>
    <row r="352" spans="8:9" ht="15.75" x14ac:dyDescent="0.25">
      <c r="H352" s="20">
        <v>350</v>
      </c>
      <c r="I352" s="36">
        <v>904</v>
      </c>
    </row>
    <row r="353" spans="8:9" ht="15.75" x14ac:dyDescent="0.25">
      <c r="H353" s="20">
        <v>351</v>
      </c>
      <c r="I353" s="36">
        <v>570</v>
      </c>
    </row>
    <row r="354" spans="8:9" ht="15.75" x14ac:dyDescent="0.25">
      <c r="H354" s="20">
        <v>352</v>
      </c>
      <c r="I354" s="36">
        <v>738</v>
      </c>
    </row>
    <row r="355" spans="8:9" ht="15.75" x14ac:dyDescent="0.25">
      <c r="H355" s="20">
        <v>353</v>
      </c>
      <c r="I355" s="36">
        <v>362</v>
      </c>
    </row>
    <row r="356" spans="8:9" ht="15.75" x14ac:dyDescent="0.25">
      <c r="H356" s="20">
        <v>354</v>
      </c>
      <c r="I356" s="36">
        <v>766</v>
      </c>
    </row>
    <row r="357" spans="8:9" ht="15.75" x14ac:dyDescent="0.25">
      <c r="H357" s="20">
        <v>355</v>
      </c>
      <c r="I357" s="36">
        <v>825</v>
      </c>
    </row>
    <row r="358" spans="8:9" ht="15.75" x14ac:dyDescent="0.25">
      <c r="H358" s="20">
        <v>356</v>
      </c>
      <c r="I358" s="36">
        <v>545</v>
      </c>
    </row>
    <row r="359" spans="8:9" ht="15.75" x14ac:dyDescent="0.25">
      <c r="H359" s="20">
        <v>357</v>
      </c>
      <c r="I359" s="36">
        <v>499</v>
      </c>
    </row>
    <row r="360" spans="8:9" ht="15.75" x14ac:dyDescent="0.25">
      <c r="H360" s="20">
        <v>358</v>
      </c>
      <c r="I360" s="36">
        <v>829</v>
      </c>
    </row>
    <row r="361" spans="8:9" ht="15.75" x14ac:dyDescent="0.25">
      <c r="H361" s="20">
        <v>359</v>
      </c>
      <c r="I361" s="36">
        <v>971</v>
      </c>
    </row>
    <row r="362" spans="8:9" ht="15.75" x14ac:dyDescent="0.25">
      <c r="H362" s="20">
        <v>360</v>
      </c>
      <c r="I362" s="36">
        <v>736</v>
      </c>
    </row>
    <row r="363" spans="8:9" ht="15.75" x14ac:dyDescent="0.25">
      <c r="H363" s="20">
        <v>361</v>
      </c>
      <c r="I363" s="36">
        <v>893</v>
      </c>
    </row>
    <row r="364" spans="8:9" ht="15.75" x14ac:dyDescent="0.25">
      <c r="H364" s="20">
        <v>362</v>
      </c>
      <c r="I364" s="36">
        <v>785</v>
      </c>
    </row>
    <row r="365" spans="8:9" ht="15.75" x14ac:dyDescent="0.25">
      <c r="H365" s="20">
        <v>363</v>
      </c>
      <c r="I365" s="36">
        <v>777</v>
      </c>
    </row>
    <row r="366" spans="8:9" ht="15.75" x14ac:dyDescent="0.25">
      <c r="H366" s="20">
        <v>364</v>
      </c>
      <c r="I366" s="36">
        <v>208</v>
      </c>
    </row>
    <row r="367" spans="8:9" ht="16.5" thickBot="1" x14ac:dyDescent="0.3">
      <c r="H367" s="26">
        <v>365</v>
      </c>
      <c r="I367" s="39">
        <v>374</v>
      </c>
    </row>
  </sheetData>
  <mergeCells count="17">
    <mergeCell ref="A23:C23"/>
    <mergeCell ref="D23:F23"/>
    <mergeCell ref="A24:C24"/>
    <mergeCell ref="D24:F24"/>
    <mergeCell ref="A20:F20"/>
    <mergeCell ref="A21:C21"/>
    <mergeCell ref="D21:F21"/>
    <mergeCell ref="A22:C22"/>
    <mergeCell ref="D22:F22"/>
    <mergeCell ref="K1:U1"/>
    <mergeCell ref="A1:F4"/>
    <mergeCell ref="A10:F10"/>
    <mergeCell ref="A17:A19"/>
    <mergeCell ref="A14:A16"/>
    <mergeCell ref="A11:A13"/>
    <mergeCell ref="B11:D13"/>
    <mergeCell ref="B14:D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Macro2020Demand">
                <anchor moveWithCells="1" sizeWithCells="1">
                  <from>
                    <xdr:col>1</xdr:col>
                    <xdr:colOff>76200</xdr:colOff>
                    <xdr:row>16</xdr:row>
                    <xdr:rowOff>123825</xdr:rowOff>
                  </from>
                  <to>
                    <xdr:col>1</xdr:col>
                    <xdr:colOff>571500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Macro2021Demand">
                <anchor moveWithCells="1" sizeWithCells="1">
                  <from>
                    <xdr:col>2</xdr:col>
                    <xdr:colOff>142875</xdr:colOff>
                    <xdr:row>16</xdr:row>
                    <xdr:rowOff>142875</xdr:rowOff>
                  </from>
                  <to>
                    <xdr:col>3</xdr:col>
                    <xdr:colOff>28575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Macro2022Demand">
                <anchor moveWithCells="1" sizeWithCells="1">
                  <from>
                    <xdr:col>3</xdr:col>
                    <xdr:colOff>238125</xdr:colOff>
                    <xdr:row>16</xdr:row>
                    <xdr:rowOff>133350</xdr:rowOff>
                  </from>
                  <to>
                    <xdr:col>4</xdr:col>
                    <xdr:colOff>123825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Macro8DemandClear">
                <anchor moveWithCells="1" sizeWithCells="1">
                  <from>
                    <xdr:col>4</xdr:col>
                    <xdr:colOff>371475</xdr:colOff>
                    <xdr:row>16</xdr:row>
                    <xdr:rowOff>123825</xdr:rowOff>
                  </from>
                  <to>
                    <xdr:col>5</xdr:col>
                    <xdr:colOff>257175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Check Box 15">
              <controlPr defaultSize="0" autoFill="0" autoLine="0" autoPict="0">
                <anchor moveWithCells="1">
                  <from>
                    <xdr:col>10</xdr:col>
                    <xdr:colOff>428625</xdr:colOff>
                    <xdr:row>1</xdr:row>
                    <xdr:rowOff>47625</xdr:rowOff>
                  </from>
                  <to>
                    <xdr:col>12</xdr:col>
                    <xdr:colOff>561975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Check Box 16">
              <controlPr defaultSize="0" autoFill="0" autoLine="0" autoPict="0">
                <anchor moveWithCells="1">
                  <from>
                    <xdr:col>12</xdr:col>
                    <xdr:colOff>209550</xdr:colOff>
                    <xdr:row>1</xdr:row>
                    <xdr:rowOff>38100</xdr:rowOff>
                  </from>
                  <to>
                    <xdr:col>14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9" name="Scroll Bar 20">
              <controlPr defaultSize="0" autoPict="0">
                <anchor moveWithCells="1">
                  <from>
                    <xdr:col>4</xdr:col>
                    <xdr:colOff>9525</xdr:colOff>
                    <xdr:row>10</xdr:row>
                    <xdr:rowOff>9525</xdr:rowOff>
                  </from>
                  <to>
                    <xdr:col>6</xdr:col>
                    <xdr:colOff>19050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Scroll Bar 21">
              <controlPr defaultSize="0" autoPict="0">
                <anchor moveWithCells="1">
                  <from>
                    <xdr:col>4</xdr:col>
                    <xdr:colOff>0</xdr:colOff>
                    <xdr:row>12</xdr:row>
                    <xdr:rowOff>152400</xdr:rowOff>
                  </from>
                  <to>
                    <xdr:col>5</xdr:col>
                    <xdr:colOff>600075</xdr:colOff>
                    <xdr:row>15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4B1FE-0E4F-40D7-9D82-ABBD90245DA5}">
  <dimension ref="A1:C12"/>
  <sheetViews>
    <sheetView tabSelected="1" zoomScale="91" zoomScaleNormal="55" workbookViewId="0">
      <selection activeCell="F12" sqref="F12"/>
    </sheetView>
  </sheetViews>
  <sheetFormatPr defaultRowHeight="15" x14ac:dyDescent="0.25"/>
  <cols>
    <col min="1" max="1" width="23.140625" bestFit="1" customWidth="1"/>
    <col min="2" max="2" width="26.140625" customWidth="1"/>
    <col min="3" max="3" width="16.7109375" customWidth="1"/>
  </cols>
  <sheetData>
    <row r="1" spans="1:3" ht="15" customHeight="1" thickBot="1" x14ac:dyDescent="0.3">
      <c r="A1" s="96" t="s">
        <v>13</v>
      </c>
      <c r="B1" s="97"/>
      <c r="C1" s="98"/>
    </row>
    <row r="2" spans="1:3" ht="15.75" thickBot="1" x14ac:dyDescent="0.3">
      <c r="A2" s="32" t="s">
        <v>14</v>
      </c>
      <c r="B2" s="32" t="s">
        <v>15</v>
      </c>
      <c r="C2" s="33" t="s">
        <v>11</v>
      </c>
    </row>
    <row r="3" spans="1:3" ht="15.75" thickBot="1" x14ac:dyDescent="0.3">
      <c r="A3" s="1">
        <v>1</v>
      </c>
      <c r="B3" s="1">
        <v>1000</v>
      </c>
      <c r="C3" s="2">
        <v>375</v>
      </c>
    </row>
    <row r="4" spans="1:3" ht="15.75" thickBot="1" x14ac:dyDescent="0.3">
      <c r="A4" s="1">
        <v>1001</v>
      </c>
      <c r="B4" s="1">
        <v>5000</v>
      </c>
      <c r="C4" s="2">
        <v>275</v>
      </c>
    </row>
    <row r="5" spans="1:3" ht="15.75" thickBot="1" x14ac:dyDescent="0.3">
      <c r="A5" s="1">
        <v>5001</v>
      </c>
      <c r="B5" s="1">
        <v>10000</v>
      </c>
      <c r="C5" s="2">
        <v>175</v>
      </c>
    </row>
    <row r="6" spans="1:3" ht="15.75" thickBot="1" x14ac:dyDescent="0.3">
      <c r="A6" s="3">
        <v>10001</v>
      </c>
      <c r="B6" s="3" t="s">
        <v>16</v>
      </c>
      <c r="C6" s="4">
        <v>100</v>
      </c>
    </row>
    <row r="7" spans="1:3" ht="15.75" thickBot="1" x14ac:dyDescent="0.3">
      <c r="A7" s="5"/>
      <c r="B7" s="5"/>
      <c r="C7" s="5"/>
    </row>
    <row r="8" spans="1:3" ht="15.75" thickBot="1" x14ac:dyDescent="0.3">
      <c r="A8" s="31" t="s">
        <v>4</v>
      </c>
      <c r="B8" s="6">
        <v>1500</v>
      </c>
      <c r="C8" s="5"/>
    </row>
    <row r="9" spans="1:3" ht="15.75" thickBot="1" x14ac:dyDescent="0.3">
      <c r="A9" s="31" t="s">
        <v>17</v>
      </c>
      <c r="B9" s="7">
        <v>67</v>
      </c>
      <c r="C9" s="5"/>
    </row>
    <row r="10" spans="1:3" ht="15.75" thickBot="1" x14ac:dyDescent="0.3">
      <c r="A10" s="31" t="s">
        <v>30</v>
      </c>
      <c r="B10" s="8">
        <v>0.4</v>
      </c>
      <c r="C10" s="5"/>
    </row>
    <row r="11" spans="1:3" ht="15.75" thickBot="1" x14ac:dyDescent="0.3">
      <c r="A11" s="31" t="s">
        <v>9</v>
      </c>
      <c r="B11" s="9">
        <f>B9*B10</f>
        <v>26.8</v>
      </c>
      <c r="C11" s="5"/>
    </row>
    <row r="12" spans="1:3" x14ac:dyDescent="0.25">
      <c r="C12" s="5"/>
    </row>
  </sheetData>
  <mergeCells count="1">
    <mergeCell ref="A1:C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FCD8-1CD0-46E7-A9A7-5EF4DEA88D78}">
  <dimension ref="A1:M367"/>
  <sheetViews>
    <sheetView zoomScale="58" workbookViewId="0">
      <selection activeCell="H3" sqref="H3:H367"/>
    </sheetView>
  </sheetViews>
  <sheetFormatPr defaultColWidth="8.7109375" defaultRowHeight="15.75" x14ac:dyDescent="0.25"/>
  <cols>
    <col min="1" max="1" width="4.140625" style="13" bestFit="1" customWidth="1"/>
    <col min="2" max="2" width="18.5703125" style="13" bestFit="1" customWidth="1"/>
    <col min="3" max="3" width="9" style="13" bestFit="1" customWidth="1"/>
    <col min="4" max="4" width="9.5703125" style="13" bestFit="1" customWidth="1"/>
    <col min="5" max="5" width="16.140625" style="13" bestFit="1" customWidth="1"/>
    <col min="6" max="6" width="16" style="13" bestFit="1" customWidth="1"/>
    <col min="7" max="7" width="12.140625" style="13" bestFit="1" customWidth="1"/>
    <col min="8" max="8" width="15.42578125" style="13" bestFit="1" customWidth="1"/>
    <col min="9" max="9" width="10.42578125" style="13" customWidth="1"/>
    <col min="10" max="10" width="14.140625" style="13" bestFit="1" customWidth="1"/>
    <col min="11" max="11" width="16" style="13" bestFit="1" customWidth="1"/>
    <col min="12" max="12" width="14.7109375" style="13" bestFit="1" customWidth="1"/>
    <col min="13" max="13" width="16" style="13" bestFit="1" customWidth="1"/>
    <col min="14" max="16384" width="8.7109375" style="13"/>
  </cols>
  <sheetData>
    <row r="1" spans="1:13" ht="16.5" thickBot="1" x14ac:dyDescent="0.3">
      <c r="A1" s="99" t="s">
        <v>0</v>
      </c>
      <c r="B1" s="99" t="s">
        <v>4</v>
      </c>
      <c r="C1" s="99" t="s">
        <v>5</v>
      </c>
      <c r="D1" s="99" t="s">
        <v>6</v>
      </c>
      <c r="E1" s="99" t="s">
        <v>7</v>
      </c>
      <c r="F1" s="99" t="s">
        <v>8</v>
      </c>
      <c r="G1" s="99" t="s">
        <v>9</v>
      </c>
      <c r="H1" s="99" t="s">
        <v>10</v>
      </c>
      <c r="I1" s="101" t="s">
        <v>11</v>
      </c>
      <c r="J1" s="101" t="s">
        <v>12</v>
      </c>
      <c r="K1" s="99" t="s">
        <v>8</v>
      </c>
      <c r="L1" s="12" t="s">
        <v>12</v>
      </c>
      <c r="M1" s="12" t="s">
        <v>8</v>
      </c>
    </row>
    <row r="2" spans="1:13" ht="16.5" thickBot="1" x14ac:dyDescent="0.3">
      <c r="A2" s="100"/>
      <c r="B2" s="100"/>
      <c r="C2" s="100"/>
      <c r="D2" s="100"/>
      <c r="E2" s="100"/>
      <c r="F2" s="100"/>
      <c r="G2" s="100"/>
      <c r="H2" s="100"/>
      <c r="I2" s="102"/>
      <c r="J2" s="102"/>
      <c r="K2" s="100"/>
      <c r="L2" s="46" t="b">
        <v>1</v>
      </c>
      <c r="M2" s="47" t="b">
        <v>1</v>
      </c>
    </row>
    <row r="3" spans="1:13" x14ac:dyDescent="0.25">
      <c r="A3" s="14">
        <f>'Manager''s Page'!H3</f>
        <v>1</v>
      </c>
      <c r="B3" s="15">
        <f>Constant!B8</f>
        <v>1500</v>
      </c>
      <c r="C3" s="16">
        <f>'Manager''s Page'!I3</f>
        <v>482</v>
      </c>
      <c r="D3" s="16">
        <f>IF(B3&gt;C3,C3,B3)</f>
        <v>482</v>
      </c>
      <c r="E3" s="16">
        <f>C3-D3</f>
        <v>0</v>
      </c>
      <c r="F3" s="16">
        <f>B3-D3</f>
        <v>1018</v>
      </c>
      <c r="G3" s="17">
        <f>F3*(Constant!$B$11/365)</f>
        <v>74.746301369863019</v>
      </c>
      <c r="H3" s="16">
        <f>IF(F3&lt;'Manager''s Page'!$B$11,'Manager''s Page'!$B$14,0)</f>
        <v>0</v>
      </c>
      <c r="I3" s="17" cm="1">
        <f t="array" ref="I3">_xlfn.IFS(H3&lt;Constant!$A$3,0,H3&lt;Constant!$A$4,375,H3&lt;Constant!$A$5,275,H3&lt;Constant!$A$6,175)</f>
        <v>0</v>
      </c>
      <c r="J3" s="16">
        <f>C3</f>
        <v>482</v>
      </c>
      <c r="K3" s="16">
        <f>F3</f>
        <v>1018</v>
      </c>
      <c r="L3" s="14">
        <f>IF(L$2=TRUE,J3,NA())</f>
        <v>482</v>
      </c>
      <c r="M3" s="44">
        <f>IF(M$2=TRUE,K3,NA())</f>
        <v>1018</v>
      </c>
    </row>
    <row r="4" spans="1:13" x14ac:dyDescent="0.25">
      <c r="A4" s="14">
        <f>'Manager''s Page'!H4</f>
        <v>2</v>
      </c>
      <c r="B4" s="15">
        <f>F3+H3</f>
        <v>1018</v>
      </c>
      <c r="C4" s="16">
        <f>'Manager''s Page'!I4</f>
        <v>903</v>
      </c>
      <c r="D4" s="16">
        <f t="shared" ref="D4:D67" si="0">IF(B4&gt;C4,C4,B4)</f>
        <v>903</v>
      </c>
      <c r="E4" s="16">
        <f t="shared" ref="E4:E67" si="1">C4-D4</f>
        <v>0</v>
      </c>
      <c r="F4" s="16">
        <f t="shared" ref="F4:F67" si="2">B4-D4</f>
        <v>115</v>
      </c>
      <c r="G4" s="17">
        <f>F4*(Constant!$B$11/365)</f>
        <v>8.4438356164383563</v>
      </c>
      <c r="H4" s="16">
        <f>IF(F4&lt;'Manager''s Page'!$B$11,'Manager''s Page'!$B$14,0)</f>
        <v>5000</v>
      </c>
      <c r="I4" s="17" cm="1">
        <f t="array" ref="I4">_xlfn.IFS(H4&lt;Constant!$A$3,0,H4&lt;Constant!$A$4,375,H4&lt;Constant!$A$5,275,H4&lt;Constant!$A$6,175)</f>
        <v>275</v>
      </c>
      <c r="J4" s="16">
        <f t="shared" ref="J4:J67" si="3">C4</f>
        <v>903</v>
      </c>
      <c r="K4" s="16">
        <f t="shared" ref="K4:K67" si="4">F4</f>
        <v>115</v>
      </c>
      <c r="L4" s="14">
        <f t="shared" ref="L4:L67" si="5">IF(L$2=TRUE,J4,NA())</f>
        <v>903</v>
      </c>
      <c r="M4" s="44">
        <f t="shared" ref="M4:M67" si="6">IF(M$2=TRUE,K4,NA())</f>
        <v>115</v>
      </c>
    </row>
    <row r="5" spans="1:13" x14ac:dyDescent="0.25">
      <c r="A5" s="14">
        <f>'Manager''s Page'!H5</f>
        <v>3</v>
      </c>
      <c r="B5" s="15">
        <f t="shared" ref="B5:B68" si="7">F4+H4</f>
        <v>5115</v>
      </c>
      <c r="C5" s="16">
        <f>'Manager''s Page'!I5</f>
        <v>248</v>
      </c>
      <c r="D5" s="16">
        <f t="shared" si="0"/>
        <v>248</v>
      </c>
      <c r="E5" s="16">
        <f t="shared" si="1"/>
        <v>0</v>
      </c>
      <c r="F5" s="16">
        <f t="shared" si="2"/>
        <v>4867</v>
      </c>
      <c r="G5" s="17">
        <f>F5*(Constant!$B$11/365)</f>
        <v>357.35780821917814</v>
      </c>
      <c r="H5" s="16">
        <f>IF(F5&lt;'Manager''s Page'!$B$11,'Manager''s Page'!$B$14,0)</f>
        <v>0</v>
      </c>
      <c r="I5" s="17" cm="1">
        <f t="array" ref="I5">_xlfn.IFS(H5&lt;Constant!$A$3,0,H5&lt;Constant!$A$4,375,H5&lt;Constant!$A$5,275,H5&lt;Constant!$A$6,175)</f>
        <v>0</v>
      </c>
      <c r="J5" s="16">
        <f t="shared" si="3"/>
        <v>248</v>
      </c>
      <c r="K5" s="16">
        <f t="shared" si="4"/>
        <v>4867</v>
      </c>
      <c r="L5" s="14">
        <f t="shared" si="5"/>
        <v>248</v>
      </c>
      <c r="M5" s="44">
        <f t="shared" si="6"/>
        <v>4867</v>
      </c>
    </row>
    <row r="6" spans="1:13" x14ac:dyDescent="0.25">
      <c r="A6" s="14">
        <f>'Manager''s Page'!H6</f>
        <v>4</v>
      </c>
      <c r="B6" s="15">
        <f t="shared" si="7"/>
        <v>4867</v>
      </c>
      <c r="C6" s="16">
        <f>'Manager''s Page'!I6</f>
        <v>484</v>
      </c>
      <c r="D6" s="16">
        <f t="shared" si="0"/>
        <v>484</v>
      </c>
      <c r="E6" s="16">
        <f t="shared" si="1"/>
        <v>0</v>
      </c>
      <c r="F6" s="16">
        <f t="shared" si="2"/>
        <v>4383</v>
      </c>
      <c r="G6" s="17">
        <f>F6*(Constant!$B$11/365)</f>
        <v>321.82027397260276</v>
      </c>
      <c r="H6" s="16">
        <f>IF(F6&lt;'Manager''s Page'!$B$11,'Manager''s Page'!$B$14,0)</f>
        <v>0</v>
      </c>
      <c r="I6" s="17" cm="1">
        <f t="array" ref="I6">_xlfn.IFS(H6&lt;Constant!$A$3,0,H6&lt;Constant!$A$4,375,H6&lt;Constant!$A$5,275,H6&lt;Constant!$A$6,175)</f>
        <v>0</v>
      </c>
      <c r="J6" s="16">
        <f t="shared" si="3"/>
        <v>484</v>
      </c>
      <c r="K6" s="16">
        <f t="shared" si="4"/>
        <v>4383</v>
      </c>
      <c r="L6" s="14">
        <f t="shared" si="5"/>
        <v>484</v>
      </c>
      <c r="M6" s="44">
        <f t="shared" si="6"/>
        <v>4383</v>
      </c>
    </row>
    <row r="7" spans="1:13" x14ac:dyDescent="0.25">
      <c r="A7" s="14">
        <f>'Manager''s Page'!H7</f>
        <v>5</v>
      </c>
      <c r="B7" s="15">
        <f t="shared" si="7"/>
        <v>4383</v>
      </c>
      <c r="C7" s="16">
        <f>'Manager''s Page'!I7</f>
        <v>851</v>
      </c>
      <c r="D7" s="16">
        <f t="shared" si="0"/>
        <v>851</v>
      </c>
      <c r="E7" s="16">
        <f t="shared" si="1"/>
        <v>0</v>
      </c>
      <c r="F7" s="16">
        <f t="shared" si="2"/>
        <v>3532</v>
      </c>
      <c r="G7" s="17">
        <f>F7*(Constant!$B$11/365)</f>
        <v>259.33589041095894</v>
      </c>
      <c r="H7" s="16">
        <f>IF(F7&lt;'Manager''s Page'!$B$11,'Manager''s Page'!$B$14,0)</f>
        <v>0</v>
      </c>
      <c r="I7" s="17" cm="1">
        <f t="array" ref="I7">_xlfn.IFS(H7&lt;Constant!$A$3,0,H7&lt;Constant!$A$4,375,H7&lt;Constant!$A$5,275,H7&lt;Constant!$A$6,175)</f>
        <v>0</v>
      </c>
      <c r="J7" s="16">
        <f t="shared" si="3"/>
        <v>851</v>
      </c>
      <c r="K7" s="16">
        <f t="shared" si="4"/>
        <v>3532</v>
      </c>
      <c r="L7" s="14">
        <f t="shared" si="5"/>
        <v>851</v>
      </c>
      <c r="M7" s="44">
        <f t="shared" si="6"/>
        <v>3532</v>
      </c>
    </row>
    <row r="8" spans="1:13" x14ac:dyDescent="0.25">
      <c r="A8" s="14">
        <f>'Manager''s Page'!H8</f>
        <v>6</v>
      </c>
      <c r="B8" s="15">
        <f t="shared" si="7"/>
        <v>3532</v>
      </c>
      <c r="C8" s="16">
        <f>'Manager''s Page'!I8</f>
        <v>660</v>
      </c>
      <c r="D8" s="16">
        <f t="shared" si="0"/>
        <v>660</v>
      </c>
      <c r="E8" s="16">
        <f t="shared" si="1"/>
        <v>0</v>
      </c>
      <c r="F8" s="16">
        <f t="shared" si="2"/>
        <v>2872</v>
      </c>
      <c r="G8" s="17">
        <f>F8*(Constant!$B$11/365)</f>
        <v>210.87561643835619</v>
      </c>
      <c r="H8" s="16">
        <f>IF(F8&lt;'Manager''s Page'!$B$11,'Manager''s Page'!$B$14,0)</f>
        <v>0</v>
      </c>
      <c r="I8" s="17" cm="1">
        <f t="array" ref="I8">_xlfn.IFS(H8&lt;Constant!$A$3,0,H8&lt;Constant!$A$4,375,H8&lt;Constant!$A$5,275,H8&lt;Constant!$A$6,175)</f>
        <v>0</v>
      </c>
      <c r="J8" s="16">
        <f t="shared" si="3"/>
        <v>660</v>
      </c>
      <c r="K8" s="16">
        <f t="shared" si="4"/>
        <v>2872</v>
      </c>
      <c r="L8" s="14">
        <f t="shared" si="5"/>
        <v>660</v>
      </c>
      <c r="M8" s="44">
        <f t="shared" si="6"/>
        <v>2872</v>
      </c>
    </row>
    <row r="9" spans="1:13" x14ac:dyDescent="0.25">
      <c r="A9" s="14">
        <f>'Manager''s Page'!H9</f>
        <v>7</v>
      </c>
      <c r="B9" s="15">
        <f t="shared" si="7"/>
        <v>2872</v>
      </c>
      <c r="C9" s="16">
        <f>'Manager''s Page'!I9</f>
        <v>784</v>
      </c>
      <c r="D9" s="16">
        <f t="shared" si="0"/>
        <v>784</v>
      </c>
      <c r="E9" s="16">
        <f t="shared" si="1"/>
        <v>0</v>
      </c>
      <c r="F9" s="16">
        <f t="shared" si="2"/>
        <v>2088</v>
      </c>
      <c r="G9" s="17">
        <f>F9*(Constant!$B$11/365)</f>
        <v>153.31068493150687</v>
      </c>
      <c r="H9" s="16">
        <f>IF(F9&lt;'Manager''s Page'!$B$11,'Manager''s Page'!$B$14,0)</f>
        <v>0</v>
      </c>
      <c r="I9" s="17" cm="1">
        <f t="array" ref="I9">_xlfn.IFS(H9&lt;Constant!$A$3,0,H9&lt;Constant!$A$4,375,H9&lt;Constant!$A$5,275,H9&lt;Constant!$A$6,175)</f>
        <v>0</v>
      </c>
      <c r="J9" s="16">
        <f t="shared" si="3"/>
        <v>784</v>
      </c>
      <c r="K9" s="16">
        <f t="shared" si="4"/>
        <v>2088</v>
      </c>
      <c r="L9" s="14">
        <f t="shared" si="5"/>
        <v>784</v>
      </c>
      <c r="M9" s="44">
        <f t="shared" si="6"/>
        <v>2088</v>
      </c>
    </row>
    <row r="10" spans="1:13" x14ac:dyDescent="0.25">
      <c r="A10" s="14">
        <f>'Manager''s Page'!H10</f>
        <v>8</v>
      </c>
      <c r="B10" s="15">
        <f t="shared" si="7"/>
        <v>2088</v>
      </c>
      <c r="C10" s="16">
        <f>'Manager''s Page'!I10</f>
        <v>317</v>
      </c>
      <c r="D10" s="16">
        <f t="shared" si="0"/>
        <v>317</v>
      </c>
      <c r="E10" s="16">
        <f t="shared" si="1"/>
        <v>0</v>
      </c>
      <c r="F10" s="16">
        <f t="shared" si="2"/>
        <v>1771</v>
      </c>
      <c r="G10" s="17">
        <f>F10*(Constant!$B$11/365)</f>
        <v>130.0350684931507</v>
      </c>
      <c r="H10" s="16">
        <f>IF(F10&lt;'Manager''s Page'!$B$11,'Manager''s Page'!$B$14,0)</f>
        <v>0</v>
      </c>
      <c r="I10" s="17" cm="1">
        <f t="array" ref="I10">_xlfn.IFS(H10&lt;Constant!$A$3,0,H10&lt;Constant!$A$4,375,H10&lt;Constant!$A$5,275,H10&lt;Constant!$A$6,175)</f>
        <v>0</v>
      </c>
      <c r="J10" s="16">
        <f t="shared" si="3"/>
        <v>317</v>
      </c>
      <c r="K10" s="16">
        <f t="shared" si="4"/>
        <v>1771</v>
      </c>
      <c r="L10" s="14">
        <f t="shared" si="5"/>
        <v>317</v>
      </c>
      <c r="M10" s="44">
        <f t="shared" si="6"/>
        <v>1771</v>
      </c>
    </row>
    <row r="11" spans="1:13" x14ac:dyDescent="0.25">
      <c r="A11" s="14">
        <f>'Manager''s Page'!H11</f>
        <v>9</v>
      </c>
      <c r="B11" s="15">
        <f t="shared" si="7"/>
        <v>1771</v>
      </c>
      <c r="C11" s="16">
        <f>'Manager''s Page'!I11</f>
        <v>526</v>
      </c>
      <c r="D11" s="16">
        <f t="shared" si="0"/>
        <v>526</v>
      </c>
      <c r="E11" s="16">
        <f t="shared" si="1"/>
        <v>0</v>
      </c>
      <c r="F11" s="16">
        <f t="shared" si="2"/>
        <v>1245</v>
      </c>
      <c r="G11" s="17">
        <f>F11*(Constant!$B$11/365)</f>
        <v>91.413698630136992</v>
      </c>
      <c r="H11" s="16">
        <f>IF(F11&lt;'Manager''s Page'!$B$11,'Manager''s Page'!$B$14,0)</f>
        <v>0</v>
      </c>
      <c r="I11" s="17" cm="1">
        <f t="array" ref="I11">_xlfn.IFS(H11&lt;Constant!$A$3,0,H11&lt;Constant!$A$4,375,H11&lt;Constant!$A$5,275,H11&lt;Constant!$A$6,175)</f>
        <v>0</v>
      </c>
      <c r="J11" s="16">
        <f t="shared" si="3"/>
        <v>526</v>
      </c>
      <c r="K11" s="16">
        <f t="shared" si="4"/>
        <v>1245</v>
      </c>
      <c r="L11" s="14">
        <f t="shared" si="5"/>
        <v>526</v>
      </c>
      <c r="M11" s="44">
        <f t="shared" si="6"/>
        <v>1245</v>
      </c>
    </row>
    <row r="12" spans="1:13" x14ac:dyDescent="0.25">
      <c r="A12" s="14">
        <f>'Manager''s Page'!H12</f>
        <v>10</v>
      </c>
      <c r="B12" s="15">
        <f t="shared" si="7"/>
        <v>1245</v>
      </c>
      <c r="C12" s="16">
        <f>'Manager''s Page'!I12</f>
        <v>736</v>
      </c>
      <c r="D12" s="16">
        <f t="shared" si="0"/>
        <v>736</v>
      </c>
      <c r="E12" s="16">
        <f t="shared" si="1"/>
        <v>0</v>
      </c>
      <c r="F12" s="16">
        <f t="shared" si="2"/>
        <v>509</v>
      </c>
      <c r="G12" s="17">
        <f>F12*(Constant!$B$11/365)</f>
        <v>37.37315068493151</v>
      </c>
      <c r="H12" s="16">
        <f>IF(F12&lt;'Manager''s Page'!$B$11,'Manager''s Page'!$B$14,0)</f>
        <v>0</v>
      </c>
      <c r="I12" s="17" cm="1">
        <f t="array" ref="I12">_xlfn.IFS(H12&lt;Constant!$A$3,0,H12&lt;Constant!$A$4,375,H12&lt;Constant!$A$5,275,H12&lt;Constant!$A$6,175)</f>
        <v>0</v>
      </c>
      <c r="J12" s="16">
        <f t="shared" si="3"/>
        <v>736</v>
      </c>
      <c r="K12" s="16">
        <f t="shared" si="4"/>
        <v>509</v>
      </c>
      <c r="L12" s="14">
        <f t="shared" si="5"/>
        <v>736</v>
      </c>
      <c r="M12" s="44">
        <f t="shared" si="6"/>
        <v>509</v>
      </c>
    </row>
    <row r="13" spans="1:13" x14ac:dyDescent="0.25">
      <c r="A13" s="14">
        <f>'Manager''s Page'!H13</f>
        <v>11</v>
      </c>
      <c r="B13" s="15">
        <f t="shared" si="7"/>
        <v>509</v>
      </c>
      <c r="C13" s="16">
        <f>'Manager''s Page'!I13</f>
        <v>970</v>
      </c>
      <c r="D13" s="16">
        <f t="shared" si="0"/>
        <v>509</v>
      </c>
      <c r="E13" s="16">
        <f t="shared" si="1"/>
        <v>461</v>
      </c>
      <c r="F13" s="16">
        <f t="shared" si="2"/>
        <v>0</v>
      </c>
      <c r="G13" s="17">
        <f>F13*(Constant!$B$11/365)</f>
        <v>0</v>
      </c>
      <c r="H13" s="16">
        <f>IF(F13&lt;'Manager''s Page'!$B$11,'Manager''s Page'!$B$14,0)</f>
        <v>5000</v>
      </c>
      <c r="I13" s="17" cm="1">
        <f t="array" ref="I13">_xlfn.IFS(H13&lt;Constant!$A$3,0,H13&lt;Constant!$A$4,375,H13&lt;Constant!$A$5,275,H13&lt;Constant!$A$6,175)</f>
        <v>275</v>
      </c>
      <c r="J13" s="16">
        <f t="shared" si="3"/>
        <v>970</v>
      </c>
      <c r="K13" s="16">
        <f t="shared" si="4"/>
        <v>0</v>
      </c>
      <c r="L13" s="14">
        <f t="shared" si="5"/>
        <v>970</v>
      </c>
      <c r="M13" s="44">
        <f t="shared" si="6"/>
        <v>0</v>
      </c>
    </row>
    <row r="14" spans="1:13" x14ac:dyDescent="0.25">
      <c r="A14" s="14">
        <f>'Manager''s Page'!H14</f>
        <v>12</v>
      </c>
      <c r="B14" s="15">
        <f t="shared" si="7"/>
        <v>5000</v>
      </c>
      <c r="C14" s="16">
        <f>'Manager''s Page'!I14</f>
        <v>397</v>
      </c>
      <c r="D14" s="16">
        <f t="shared" si="0"/>
        <v>397</v>
      </c>
      <c r="E14" s="16">
        <f t="shared" si="1"/>
        <v>0</v>
      </c>
      <c r="F14" s="16">
        <f t="shared" si="2"/>
        <v>4603</v>
      </c>
      <c r="G14" s="17">
        <f>F14*(Constant!$B$11/365)</f>
        <v>337.97369863013699</v>
      </c>
      <c r="H14" s="16">
        <f>IF(F14&lt;'Manager''s Page'!$B$11,'Manager''s Page'!$B$14,0)</f>
        <v>0</v>
      </c>
      <c r="I14" s="17" cm="1">
        <f t="array" ref="I14">_xlfn.IFS(H14&lt;Constant!$A$3,0,H14&lt;Constant!$A$4,375,H14&lt;Constant!$A$5,275,H14&lt;Constant!$A$6,175)</f>
        <v>0</v>
      </c>
      <c r="J14" s="16">
        <f t="shared" si="3"/>
        <v>397</v>
      </c>
      <c r="K14" s="16">
        <f t="shared" si="4"/>
        <v>4603</v>
      </c>
      <c r="L14" s="14">
        <f t="shared" si="5"/>
        <v>397</v>
      </c>
      <c r="M14" s="44">
        <f t="shared" si="6"/>
        <v>4603</v>
      </c>
    </row>
    <row r="15" spans="1:13" x14ac:dyDescent="0.25">
      <c r="A15" s="14">
        <f>'Manager''s Page'!H15</f>
        <v>13</v>
      </c>
      <c r="B15" s="15">
        <f t="shared" si="7"/>
        <v>4603</v>
      </c>
      <c r="C15" s="16">
        <f>'Manager''s Page'!I15</f>
        <v>313</v>
      </c>
      <c r="D15" s="16">
        <f t="shared" si="0"/>
        <v>313</v>
      </c>
      <c r="E15" s="16">
        <f t="shared" si="1"/>
        <v>0</v>
      </c>
      <c r="F15" s="16">
        <f t="shared" si="2"/>
        <v>4290</v>
      </c>
      <c r="G15" s="17">
        <f>F15*(Constant!$B$11/365)</f>
        <v>314.99178082191781</v>
      </c>
      <c r="H15" s="16">
        <f>IF(F15&lt;'Manager''s Page'!$B$11,'Manager''s Page'!$B$14,0)</f>
        <v>0</v>
      </c>
      <c r="I15" s="17" cm="1">
        <f t="array" ref="I15">_xlfn.IFS(H15&lt;Constant!$A$3,0,H15&lt;Constant!$A$4,375,H15&lt;Constant!$A$5,275,H15&lt;Constant!$A$6,175)</f>
        <v>0</v>
      </c>
      <c r="J15" s="16">
        <f t="shared" si="3"/>
        <v>313</v>
      </c>
      <c r="K15" s="16">
        <f t="shared" si="4"/>
        <v>4290</v>
      </c>
      <c r="L15" s="14">
        <f t="shared" si="5"/>
        <v>313</v>
      </c>
      <c r="M15" s="44">
        <f t="shared" si="6"/>
        <v>4290</v>
      </c>
    </row>
    <row r="16" spans="1:13" x14ac:dyDescent="0.25">
      <c r="A16" s="14">
        <f>'Manager''s Page'!H16</f>
        <v>14</v>
      </c>
      <c r="B16" s="15">
        <f t="shared" si="7"/>
        <v>4290</v>
      </c>
      <c r="C16" s="16">
        <f>'Manager''s Page'!I16</f>
        <v>948</v>
      </c>
      <c r="D16" s="16">
        <f t="shared" si="0"/>
        <v>948</v>
      </c>
      <c r="E16" s="16">
        <f t="shared" si="1"/>
        <v>0</v>
      </c>
      <c r="F16" s="16">
        <f t="shared" si="2"/>
        <v>3342</v>
      </c>
      <c r="G16" s="17">
        <f>F16*(Constant!$B$11/365)</f>
        <v>245.38520547945208</v>
      </c>
      <c r="H16" s="16">
        <f>IF(F16&lt;'Manager''s Page'!$B$11,'Manager''s Page'!$B$14,0)</f>
        <v>0</v>
      </c>
      <c r="I16" s="17" cm="1">
        <f t="array" ref="I16">_xlfn.IFS(H16&lt;Constant!$A$3,0,H16&lt;Constant!$A$4,375,H16&lt;Constant!$A$5,275,H16&lt;Constant!$A$6,175)</f>
        <v>0</v>
      </c>
      <c r="J16" s="16">
        <f t="shared" si="3"/>
        <v>948</v>
      </c>
      <c r="K16" s="16">
        <f t="shared" si="4"/>
        <v>3342</v>
      </c>
      <c r="L16" s="14">
        <f t="shared" si="5"/>
        <v>948</v>
      </c>
      <c r="M16" s="44">
        <f t="shared" si="6"/>
        <v>3342</v>
      </c>
    </row>
    <row r="17" spans="1:13" x14ac:dyDescent="0.25">
      <c r="A17" s="14">
        <f>'Manager''s Page'!H17</f>
        <v>15</v>
      </c>
      <c r="B17" s="15">
        <f t="shared" si="7"/>
        <v>3342</v>
      </c>
      <c r="C17" s="16">
        <f>'Manager''s Page'!I17</f>
        <v>203</v>
      </c>
      <c r="D17" s="16">
        <f t="shared" si="0"/>
        <v>203</v>
      </c>
      <c r="E17" s="16">
        <f t="shared" si="1"/>
        <v>0</v>
      </c>
      <c r="F17" s="16">
        <f t="shared" si="2"/>
        <v>3139</v>
      </c>
      <c r="G17" s="17">
        <f>F17*(Constant!$B$11/365)</f>
        <v>230.48000000000002</v>
      </c>
      <c r="H17" s="16">
        <f>IF(F17&lt;'Manager''s Page'!$B$11,'Manager''s Page'!$B$14,0)</f>
        <v>0</v>
      </c>
      <c r="I17" s="17" cm="1">
        <f t="array" ref="I17">_xlfn.IFS(H17&lt;Constant!$A$3,0,H17&lt;Constant!$A$4,375,H17&lt;Constant!$A$5,275,H17&lt;Constant!$A$6,175)</f>
        <v>0</v>
      </c>
      <c r="J17" s="16">
        <f t="shared" si="3"/>
        <v>203</v>
      </c>
      <c r="K17" s="16">
        <f t="shared" si="4"/>
        <v>3139</v>
      </c>
      <c r="L17" s="14">
        <f t="shared" si="5"/>
        <v>203</v>
      </c>
      <c r="M17" s="44">
        <f t="shared" si="6"/>
        <v>3139</v>
      </c>
    </row>
    <row r="18" spans="1:13" x14ac:dyDescent="0.25">
      <c r="A18" s="14">
        <f>'Manager''s Page'!H18</f>
        <v>16</v>
      </c>
      <c r="B18" s="15">
        <f t="shared" si="7"/>
        <v>3139</v>
      </c>
      <c r="C18" s="16">
        <f>'Manager''s Page'!I18</f>
        <v>641</v>
      </c>
      <c r="D18" s="16">
        <f t="shared" si="0"/>
        <v>641</v>
      </c>
      <c r="E18" s="16">
        <f t="shared" si="1"/>
        <v>0</v>
      </c>
      <c r="F18" s="16">
        <f t="shared" si="2"/>
        <v>2498</v>
      </c>
      <c r="G18" s="17">
        <f>F18*(Constant!$B$11/365)</f>
        <v>183.41479452054796</v>
      </c>
      <c r="H18" s="16">
        <f>IF(F18&lt;'Manager''s Page'!$B$11,'Manager''s Page'!$B$14,0)</f>
        <v>0</v>
      </c>
      <c r="I18" s="17" cm="1">
        <f t="array" ref="I18">_xlfn.IFS(H18&lt;Constant!$A$3,0,H18&lt;Constant!$A$4,375,H18&lt;Constant!$A$5,275,H18&lt;Constant!$A$6,175)</f>
        <v>0</v>
      </c>
      <c r="J18" s="16">
        <f t="shared" si="3"/>
        <v>641</v>
      </c>
      <c r="K18" s="16">
        <f t="shared" si="4"/>
        <v>2498</v>
      </c>
      <c r="L18" s="14">
        <f t="shared" si="5"/>
        <v>641</v>
      </c>
      <c r="M18" s="44">
        <f t="shared" si="6"/>
        <v>2498</v>
      </c>
    </row>
    <row r="19" spans="1:13" x14ac:dyDescent="0.25">
      <c r="A19" s="14">
        <f>'Manager''s Page'!H19</f>
        <v>17</v>
      </c>
      <c r="B19" s="15">
        <f t="shared" si="7"/>
        <v>2498</v>
      </c>
      <c r="C19" s="16">
        <f>'Manager''s Page'!I19</f>
        <v>306</v>
      </c>
      <c r="D19" s="16">
        <f t="shared" si="0"/>
        <v>306</v>
      </c>
      <c r="E19" s="16">
        <f t="shared" si="1"/>
        <v>0</v>
      </c>
      <c r="F19" s="16">
        <f t="shared" si="2"/>
        <v>2192</v>
      </c>
      <c r="G19" s="17">
        <f>F19*(Constant!$B$11/365)</f>
        <v>160.9468493150685</v>
      </c>
      <c r="H19" s="16">
        <f>IF(F19&lt;'Manager''s Page'!$B$11,'Manager''s Page'!$B$14,0)</f>
        <v>0</v>
      </c>
      <c r="I19" s="17" cm="1">
        <f t="array" ref="I19">_xlfn.IFS(H19&lt;Constant!$A$3,0,H19&lt;Constant!$A$4,375,H19&lt;Constant!$A$5,275,H19&lt;Constant!$A$6,175)</f>
        <v>0</v>
      </c>
      <c r="J19" s="16">
        <f t="shared" si="3"/>
        <v>306</v>
      </c>
      <c r="K19" s="16">
        <f t="shared" si="4"/>
        <v>2192</v>
      </c>
      <c r="L19" s="14">
        <f t="shared" si="5"/>
        <v>306</v>
      </c>
      <c r="M19" s="44">
        <f t="shared" si="6"/>
        <v>2192</v>
      </c>
    </row>
    <row r="20" spans="1:13" x14ac:dyDescent="0.25">
      <c r="A20" s="14">
        <f>'Manager''s Page'!H20</f>
        <v>18</v>
      </c>
      <c r="B20" s="15">
        <f t="shared" si="7"/>
        <v>2192</v>
      </c>
      <c r="C20" s="16">
        <f>'Manager''s Page'!I20</f>
        <v>643</v>
      </c>
      <c r="D20" s="16">
        <f t="shared" si="0"/>
        <v>643</v>
      </c>
      <c r="E20" s="16">
        <f t="shared" si="1"/>
        <v>0</v>
      </c>
      <c r="F20" s="16">
        <f t="shared" si="2"/>
        <v>1549</v>
      </c>
      <c r="G20" s="17">
        <f>F20*(Constant!$B$11/365)</f>
        <v>113.73479452054795</v>
      </c>
      <c r="H20" s="16">
        <f>IF(F20&lt;'Manager''s Page'!$B$11,'Manager''s Page'!$B$14,0)</f>
        <v>0</v>
      </c>
      <c r="I20" s="17" cm="1">
        <f t="array" ref="I20">_xlfn.IFS(H20&lt;Constant!$A$3,0,H20&lt;Constant!$A$4,375,H20&lt;Constant!$A$5,275,H20&lt;Constant!$A$6,175)</f>
        <v>0</v>
      </c>
      <c r="J20" s="16">
        <f t="shared" si="3"/>
        <v>643</v>
      </c>
      <c r="K20" s="16">
        <f t="shared" si="4"/>
        <v>1549</v>
      </c>
      <c r="L20" s="14">
        <f t="shared" si="5"/>
        <v>643</v>
      </c>
      <c r="M20" s="44">
        <f t="shared" si="6"/>
        <v>1549</v>
      </c>
    </row>
    <row r="21" spans="1:13" x14ac:dyDescent="0.25">
      <c r="A21" s="14">
        <f>'Manager''s Page'!H21</f>
        <v>19</v>
      </c>
      <c r="B21" s="15">
        <f t="shared" si="7"/>
        <v>1549</v>
      </c>
      <c r="C21" s="16">
        <f>'Manager''s Page'!I21</f>
        <v>758</v>
      </c>
      <c r="D21" s="16">
        <f t="shared" si="0"/>
        <v>758</v>
      </c>
      <c r="E21" s="16">
        <f t="shared" si="1"/>
        <v>0</v>
      </c>
      <c r="F21" s="16">
        <f t="shared" si="2"/>
        <v>791</v>
      </c>
      <c r="G21" s="17">
        <f>F21*(Constant!$B$11/365)</f>
        <v>58.078904109589047</v>
      </c>
      <c r="H21" s="16">
        <f>IF(F21&lt;'Manager''s Page'!$B$11,'Manager''s Page'!$B$14,0)</f>
        <v>0</v>
      </c>
      <c r="I21" s="17" cm="1">
        <f t="array" ref="I21">_xlfn.IFS(H21&lt;Constant!$A$3,0,H21&lt;Constant!$A$4,375,H21&lt;Constant!$A$5,275,H21&lt;Constant!$A$6,175)</f>
        <v>0</v>
      </c>
      <c r="J21" s="16">
        <f t="shared" si="3"/>
        <v>758</v>
      </c>
      <c r="K21" s="16">
        <f t="shared" si="4"/>
        <v>791</v>
      </c>
      <c r="L21" s="14">
        <f t="shared" si="5"/>
        <v>758</v>
      </c>
      <c r="M21" s="44">
        <f t="shared" si="6"/>
        <v>791</v>
      </c>
    </row>
    <row r="22" spans="1:13" x14ac:dyDescent="0.25">
      <c r="A22" s="14">
        <f>'Manager''s Page'!H22</f>
        <v>20</v>
      </c>
      <c r="B22" s="15">
        <f t="shared" si="7"/>
        <v>791</v>
      </c>
      <c r="C22" s="16">
        <f>'Manager''s Page'!I22</f>
        <v>422</v>
      </c>
      <c r="D22" s="16">
        <f t="shared" si="0"/>
        <v>422</v>
      </c>
      <c r="E22" s="16">
        <f t="shared" si="1"/>
        <v>0</v>
      </c>
      <c r="F22" s="16">
        <f t="shared" si="2"/>
        <v>369</v>
      </c>
      <c r="G22" s="17">
        <f>F22*(Constant!$B$11/365)</f>
        <v>27.093698630136988</v>
      </c>
      <c r="H22" s="16">
        <f>IF(F22&lt;'Manager''s Page'!$B$11,'Manager''s Page'!$B$14,0)</f>
        <v>0</v>
      </c>
      <c r="I22" s="17" cm="1">
        <f t="array" ref="I22">_xlfn.IFS(H22&lt;Constant!$A$3,0,H22&lt;Constant!$A$4,375,H22&lt;Constant!$A$5,275,H22&lt;Constant!$A$6,175)</f>
        <v>0</v>
      </c>
      <c r="J22" s="16">
        <f t="shared" si="3"/>
        <v>422</v>
      </c>
      <c r="K22" s="16">
        <f t="shared" si="4"/>
        <v>369</v>
      </c>
      <c r="L22" s="14">
        <f t="shared" si="5"/>
        <v>422</v>
      </c>
      <c r="M22" s="44">
        <f t="shared" si="6"/>
        <v>369</v>
      </c>
    </row>
    <row r="23" spans="1:13" x14ac:dyDescent="0.25">
      <c r="A23" s="14">
        <f>'Manager''s Page'!H23</f>
        <v>21</v>
      </c>
      <c r="B23" s="15">
        <f t="shared" si="7"/>
        <v>369</v>
      </c>
      <c r="C23" s="16">
        <f>'Manager''s Page'!I23</f>
        <v>277</v>
      </c>
      <c r="D23" s="16">
        <f t="shared" si="0"/>
        <v>277</v>
      </c>
      <c r="E23" s="16">
        <f t="shared" si="1"/>
        <v>0</v>
      </c>
      <c r="F23" s="16">
        <f t="shared" si="2"/>
        <v>92</v>
      </c>
      <c r="G23" s="17">
        <f>F23*(Constant!$B$11/365)</f>
        <v>6.7550684931506852</v>
      </c>
      <c r="H23" s="16">
        <f>IF(F23&lt;'Manager''s Page'!$B$11,'Manager''s Page'!$B$14,0)</f>
        <v>5000</v>
      </c>
      <c r="I23" s="17" cm="1">
        <f t="array" ref="I23">_xlfn.IFS(H23&lt;Constant!$A$3,0,H23&lt;Constant!$A$4,375,H23&lt;Constant!$A$5,275,H23&lt;Constant!$A$6,175)</f>
        <v>275</v>
      </c>
      <c r="J23" s="16">
        <f t="shared" si="3"/>
        <v>277</v>
      </c>
      <c r="K23" s="16">
        <f t="shared" si="4"/>
        <v>92</v>
      </c>
      <c r="L23" s="14">
        <f t="shared" si="5"/>
        <v>277</v>
      </c>
      <c r="M23" s="44">
        <f t="shared" si="6"/>
        <v>92</v>
      </c>
    </row>
    <row r="24" spans="1:13" x14ac:dyDescent="0.25">
      <c r="A24" s="14">
        <f>'Manager''s Page'!H24</f>
        <v>22</v>
      </c>
      <c r="B24" s="15">
        <f t="shared" si="7"/>
        <v>5092</v>
      </c>
      <c r="C24" s="16">
        <f>'Manager''s Page'!I24</f>
        <v>583</v>
      </c>
      <c r="D24" s="16">
        <f t="shared" si="0"/>
        <v>583</v>
      </c>
      <c r="E24" s="16">
        <f t="shared" si="1"/>
        <v>0</v>
      </c>
      <c r="F24" s="16">
        <f t="shared" si="2"/>
        <v>4509</v>
      </c>
      <c r="G24" s="17">
        <f>F24*(Constant!$B$11/365)</f>
        <v>331.07178082191786</v>
      </c>
      <c r="H24" s="16">
        <f>IF(F24&lt;'Manager''s Page'!$B$11,'Manager''s Page'!$B$14,0)</f>
        <v>0</v>
      </c>
      <c r="I24" s="17" cm="1">
        <f t="array" ref="I24">_xlfn.IFS(H24&lt;Constant!$A$3,0,H24&lt;Constant!$A$4,375,H24&lt;Constant!$A$5,275,H24&lt;Constant!$A$6,175)</f>
        <v>0</v>
      </c>
      <c r="J24" s="16">
        <f t="shared" si="3"/>
        <v>583</v>
      </c>
      <c r="K24" s="16">
        <f t="shared" si="4"/>
        <v>4509</v>
      </c>
      <c r="L24" s="14">
        <f t="shared" si="5"/>
        <v>583</v>
      </c>
      <c r="M24" s="44">
        <f t="shared" si="6"/>
        <v>4509</v>
      </c>
    </row>
    <row r="25" spans="1:13" x14ac:dyDescent="0.25">
      <c r="A25" s="14">
        <f>'Manager''s Page'!H25</f>
        <v>23</v>
      </c>
      <c r="B25" s="15">
        <f t="shared" si="7"/>
        <v>4509</v>
      </c>
      <c r="C25" s="16">
        <f>'Manager''s Page'!I25</f>
        <v>418</v>
      </c>
      <c r="D25" s="16">
        <f t="shared" si="0"/>
        <v>418</v>
      </c>
      <c r="E25" s="16">
        <f t="shared" si="1"/>
        <v>0</v>
      </c>
      <c r="F25" s="16">
        <f t="shared" si="2"/>
        <v>4091</v>
      </c>
      <c r="G25" s="17">
        <f>F25*(Constant!$B$11/365)</f>
        <v>300.38027397260277</v>
      </c>
      <c r="H25" s="16">
        <f>IF(F25&lt;'Manager''s Page'!$B$11,'Manager''s Page'!$B$14,0)</f>
        <v>0</v>
      </c>
      <c r="I25" s="17" cm="1">
        <f t="array" ref="I25">_xlfn.IFS(H25&lt;Constant!$A$3,0,H25&lt;Constant!$A$4,375,H25&lt;Constant!$A$5,275,H25&lt;Constant!$A$6,175)</f>
        <v>0</v>
      </c>
      <c r="J25" s="16">
        <f t="shared" si="3"/>
        <v>418</v>
      </c>
      <c r="K25" s="16">
        <f t="shared" si="4"/>
        <v>4091</v>
      </c>
      <c r="L25" s="14">
        <f t="shared" si="5"/>
        <v>418</v>
      </c>
      <c r="M25" s="44">
        <f t="shared" si="6"/>
        <v>4091</v>
      </c>
    </row>
    <row r="26" spans="1:13" x14ac:dyDescent="0.25">
      <c r="A26" s="14">
        <f>'Manager''s Page'!H26</f>
        <v>24</v>
      </c>
      <c r="B26" s="15">
        <f t="shared" si="7"/>
        <v>4091</v>
      </c>
      <c r="C26" s="16">
        <f>'Manager''s Page'!I26</f>
        <v>628</v>
      </c>
      <c r="D26" s="16">
        <f t="shared" si="0"/>
        <v>628</v>
      </c>
      <c r="E26" s="16">
        <f t="shared" si="1"/>
        <v>0</v>
      </c>
      <c r="F26" s="16">
        <f t="shared" si="2"/>
        <v>3463</v>
      </c>
      <c r="G26" s="17">
        <f>F26*(Constant!$B$11/365)</f>
        <v>254.26958904109591</v>
      </c>
      <c r="H26" s="16">
        <f>IF(F26&lt;'Manager''s Page'!$B$11,'Manager''s Page'!$B$14,0)</f>
        <v>0</v>
      </c>
      <c r="I26" s="17" cm="1">
        <f t="array" ref="I26">_xlfn.IFS(H26&lt;Constant!$A$3,0,H26&lt;Constant!$A$4,375,H26&lt;Constant!$A$5,275,H26&lt;Constant!$A$6,175)</f>
        <v>0</v>
      </c>
      <c r="J26" s="16">
        <f t="shared" si="3"/>
        <v>628</v>
      </c>
      <c r="K26" s="16">
        <f t="shared" si="4"/>
        <v>3463</v>
      </c>
      <c r="L26" s="14">
        <f t="shared" si="5"/>
        <v>628</v>
      </c>
      <c r="M26" s="44">
        <f t="shared" si="6"/>
        <v>3463</v>
      </c>
    </row>
    <row r="27" spans="1:13" x14ac:dyDescent="0.25">
      <c r="A27" s="14">
        <f>'Manager''s Page'!H27</f>
        <v>25</v>
      </c>
      <c r="B27" s="15">
        <f t="shared" si="7"/>
        <v>3463</v>
      </c>
      <c r="C27" s="16">
        <f>'Manager''s Page'!I27</f>
        <v>761</v>
      </c>
      <c r="D27" s="16">
        <f t="shared" si="0"/>
        <v>761</v>
      </c>
      <c r="E27" s="16">
        <f t="shared" si="1"/>
        <v>0</v>
      </c>
      <c r="F27" s="16">
        <f t="shared" si="2"/>
        <v>2702</v>
      </c>
      <c r="G27" s="17">
        <f>F27*(Constant!$B$11/365)</f>
        <v>198.39342465753427</v>
      </c>
      <c r="H27" s="16">
        <f>IF(F27&lt;'Manager''s Page'!$B$11,'Manager''s Page'!$B$14,0)</f>
        <v>0</v>
      </c>
      <c r="I27" s="17" cm="1">
        <f t="array" ref="I27">_xlfn.IFS(H27&lt;Constant!$A$3,0,H27&lt;Constant!$A$4,375,H27&lt;Constant!$A$5,275,H27&lt;Constant!$A$6,175)</f>
        <v>0</v>
      </c>
      <c r="J27" s="16">
        <f t="shared" si="3"/>
        <v>761</v>
      </c>
      <c r="K27" s="16">
        <f t="shared" si="4"/>
        <v>2702</v>
      </c>
      <c r="L27" s="14">
        <f t="shared" si="5"/>
        <v>761</v>
      </c>
      <c r="M27" s="44">
        <f t="shared" si="6"/>
        <v>2702</v>
      </c>
    </row>
    <row r="28" spans="1:13" x14ac:dyDescent="0.25">
      <c r="A28" s="14">
        <f>'Manager''s Page'!H28</f>
        <v>26</v>
      </c>
      <c r="B28" s="15">
        <f t="shared" si="7"/>
        <v>2702</v>
      </c>
      <c r="C28" s="16">
        <f>'Manager''s Page'!I28</f>
        <v>364</v>
      </c>
      <c r="D28" s="16">
        <f t="shared" si="0"/>
        <v>364</v>
      </c>
      <c r="E28" s="16">
        <f t="shared" si="1"/>
        <v>0</v>
      </c>
      <c r="F28" s="16">
        <f t="shared" si="2"/>
        <v>2338</v>
      </c>
      <c r="G28" s="17">
        <f>F28*(Constant!$B$11/365)</f>
        <v>171.6668493150685</v>
      </c>
      <c r="H28" s="16">
        <f>IF(F28&lt;'Manager''s Page'!$B$11,'Manager''s Page'!$B$14,0)</f>
        <v>0</v>
      </c>
      <c r="I28" s="17" cm="1">
        <f t="array" ref="I28">_xlfn.IFS(H28&lt;Constant!$A$3,0,H28&lt;Constant!$A$4,375,H28&lt;Constant!$A$5,275,H28&lt;Constant!$A$6,175)</f>
        <v>0</v>
      </c>
      <c r="J28" s="16">
        <f t="shared" si="3"/>
        <v>364</v>
      </c>
      <c r="K28" s="16">
        <f t="shared" si="4"/>
        <v>2338</v>
      </c>
      <c r="L28" s="14">
        <f t="shared" si="5"/>
        <v>364</v>
      </c>
      <c r="M28" s="44">
        <f t="shared" si="6"/>
        <v>2338</v>
      </c>
    </row>
    <row r="29" spans="1:13" x14ac:dyDescent="0.25">
      <c r="A29" s="14">
        <f>'Manager''s Page'!H29</f>
        <v>27</v>
      </c>
      <c r="B29" s="15">
        <f t="shared" si="7"/>
        <v>2338</v>
      </c>
      <c r="C29" s="16">
        <f>'Manager''s Page'!I29</f>
        <v>486</v>
      </c>
      <c r="D29" s="16">
        <f t="shared" si="0"/>
        <v>486</v>
      </c>
      <c r="E29" s="16">
        <f t="shared" si="1"/>
        <v>0</v>
      </c>
      <c r="F29" s="16">
        <f t="shared" si="2"/>
        <v>1852</v>
      </c>
      <c r="G29" s="17">
        <f>F29*(Constant!$B$11/365)</f>
        <v>135.98246575342466</v>
      </c>
      <c r="H29" s="16">
        <f>IF(F29&lt;'Manager''s Page'!$B$11,'Manager''s Page'!$B$14,0)</f>
        <v>0</v>
      </c>
      <c r="I29" s="17" cm="1">
        <f t="array" ref="I29">_xlfn.IFS(H29&lt;Constant!$A$3,0,H29&lt;Constant!$A$4,375,H29&lt;Constant!$A$5,275,H29&lt;Constant!$A$6,175)</f>
        <v>0</v>
      </c>
      <c r="J29" s="16">
        <f t="shared" si="3"/>
        <v>486</v>
      </c>
      <c r="K29" s="16">
        <f t="shared" si="4"/>
        <v>1852</v>
      </c>
      <c r="L29" s="14">
        <f t="shared" si="5"/>
        <v>486</v>
      </c>
      <c r="M29" s="44">
        <f t="shared" si="6"/>
        <v>1852</v>
      </c>
    </row>
    <row r="30" spans="1:13" x14ac:dyDescent="0.25">
      <c r="A30" s="14">
        <f>'Manager''s Page'!H30</f>
        <v>28</v>
      </c>
      <c r="B30" s="15">
        <f t="shared" si="7"/>
        <v>1852</v>
      </c>
      <c r="C30" s="16">
        <f>'Manager''s Page'!I30</f>
        <v>964</v>
      </c>
      <c r="D30" s="16">
        <f t="shared" si="0"/>
        <v>964</v>
      </c>
      <c r="E30" s="16">
        <f t="shared" si="1"/>
        <v>0</v>
      </c>
      <c r="F30" s="16">
        <f t="shared" si="2"/>
        <v>888</v>
      </c>
      <c r="G30" s="17">
        <f>F30*(Constant!$B$11/365)</f>
        <v>65.201095890410969</v>
      </c>
      <c r="H30" s="16">
        <f>IF(F30&lt;'Manager''s Page'!$B$11,'Manager''s Page'!$B$14,0)</f>
        <v>0</v>
      </c>
      <c r="I30" s="17" cm="1">
        <f t="array" ref="I30">_xlfn.IFS(H30&lt;Constant!$A$3,0,H30&lt;Constant!$A$4,375,H30&lt;Constant!$A$5,275,H30&lt;Constant!$A$6,175)</f>
        <v>0</v>
      </c>
      <c r="J30" s="16">
        <f t="shared" si="3"/>
        <v>964</v>
      </c>
      <c r="K30" s="16">
        <f t="shared" si="4"/>
        <v>888</v>
      </c>
      <c r="L30" s="14">
        <f t="shared" si="5"/>
        <v>964</v>
      </c>
      <c r="M30" s="44">
        <f t="shared" si="6"/>
        <v>888</v>
      </c>
    </row>
    <row r="31" spans="1:13" x14ac:dyDescent="0.25">
      <c r="A31" s="14">
        <f>'Manager''s Page'!H31</f>
        <v>29</v>
      </c>
      <c r="B31" s="15">
        <f t="shared" si="7"/>
        <v>888</v>
      </c>
      <c r="C31" s="16">
        <f>'Manager''s Page'!I31</f>
        <v>284</v>
      </c>
      <c r="D31" s="16">
        <f t="shared" si="0"/>
        <v>284</v>
      </c>
      <c r="E31" s="16">
        <f t="shared" si="1"/>
        <v>0</v>
      </c>
      <c r="F31" s="16">
        <f t="shared" si="2"/>
        <v>604</v>
      </c>
      <c r="G31" s="17">
        <f>F31*(Constant!$B$11/365)</f>
        <v>44.348493150684938</v>
      </c>
      <c r="H31" s="16">
        <f>IF(F31&lt;'Manager''s Page'!$B$11,'Manager''s Page'!$B$14,0)</f>
        <v>0</v>
      </c>
      <c r="I31" s="17" cm="1">
        <f t="array" ref="I31">_xlfn.IFS(H31&lt;Constant!$A$3,0,H31&lt;Constant!$A$4,375,H31&lt;Constant!$A$5,275,H31&lt;Constant!$A$6,175)</f>
        <v>0</v>
      </c>
      <c r="J31" s="16">
        <f t="shared" si="3"/>
        <v>284</v>
      </c>
      <c r="K31" s="16">
        <f t="shared" si="4"/>
        <v>604</v>
      </c>
      <c r="L31" s="14">
        <f t="shared" si="5"/>
        <v>284</v>
      </c>
      <c r="M31" s="44">
        <f t="shared" si="6"/>
        <v>604</v>
      </c>
    </row>
    <row r="32" spans="1:13" x14ac:dyDescent="0.25">
      <c r="A32" s="14">
        <f>'Manager''s Page'!H32</f>
        <v>30</v>
      </c>
      <c r="B32" s="15">
        <f t="shared" si="7"/>
        <v>604</v>
      </c>
      <c r="C32" s="16">
        <f>'Manager''s Page'!I32</f>
        <v>787</v>
      </c>
      <c r="D32" s="16">
        <f t="shared" si="0"/>
        <v>604</v>
      </c>
      <c r="E32" s="16">
        <f t="shared" si="1"/>
        <v>183</v>
      </c>
      <c r="F32" s="16">
        <f t="shared" si="2"/>
        <v>0</v>
      </c>
      <c r="G32" s="17">
        <f>F32*(Constant!$B$11/365)</f>
        <v>0</v>
      </c>
      <c r="H32" s="16">
        <f>IF(F32&lt;'Manager''s Page'!$B$11,'Manager''s Page'!$B$14,0)</f>
        <v>5000</v>
      </c>
      <c r="I32" s="17" cm="1">
        <f t="array" ref="I32">_xlfn.IFS(H32&lt;Constant!$A$3,0,H32&lt;Constant!$A$4,375,H32&lt;Constant!$A$5,275,H32&lt;Constant!$A$6,175)</f>
        <v>275</v>
      </c>
      <c r="J32" s="16">
        <f t="shared" si="3"/>
        <v>787</v>
      </c>
      <c r="K32" s="16">
        <f t="shared" si="4"/>
        <v>0</v>
      </c>
      <c r="L32" s="14">
        <f t="shared" si="5"/>
        <v>787</v>
      </c>
      <c r="M32" s="44">
        <f t="shared" si="6"/>
        <v>0</v>
      </c>
    </row>
    <row r="33" spans="1:13" x14ac:dyDescent="0.25">
      <c r="A33" s="14">
        <f>'Manager''s Page'!H33</f>
        <v>31</v>
      </c>
      <c r="B33" s="15">
        <f t="shared" si="7"/>
        <v>5000</v>
      </c>
      <c r="C33" s="16">
        <f>'Manager''s Page'!I33</f>
        <v>249</v>
      </c>
      <c r="D33" s="16">
        <f t="shared" si="0"/>
        <v>249</v>
      </c>
      <c r="E33" s="16">
        <f t="shared" si="1"/>
        <v>0</v>
      </c>
      <c r="F33" s="16">
        <f t="shared" si="2"/>
        <v>4751</v>
      </c>
      <c r="G33" s="17">
        <f>F33*(Constant!$B$11/365)</f>
        <v>348.84054794520551</v>
      </c>
      <c r="H33" s="16">
        <f>IF(F33&lt;'Manager''s Page'!$B$11,'Manager''s Page'!$B$14,0)</f>
        <v>0</v>
      </c>
      <c r="I33" s="17" cm="1">
        <f t="array" ref="I33">_xlfn.IFS(H33&lt;Constant!$A$3,0,H33&lt;Constant!$A$4,375,H33&lt;Constant!$A$5,275,H33&lt;Constant!$A$6,175)</f>
        <v>0</v>
      </c>
      <c r="J33" s="16">
        <f t="shared" si="3"/>
        <v>249</v>
      </c>
      <c r="K33" s="16">
        <f t="shared" si="4"/>
        <v>4751</v>
      </c>
      <c r="L33" s="14">
        <f t="shared" si="5"/>
        <v>249</v>
      </c>
      <c r="M33" s="44">
        <f t="shared" si="6"/>
        <v>4751</v>
      </c>
    </row>
    <row r="34" spans="1:13" x14ac:dyDescent="0.25">
      <c r="A34" s="14">
        <f>'Manager''s Page'!H34</f>
        <v>32</v>
      </c>
      <c r="B34" s="15">
        <f t="shared" si="7"/>
        <v>4751</v>
      </c>
      <c r="C34" s="16">
        <f>'Manager''s Page'!I34</f>
        <v>609</v>
      </c>
      <c r="D34" s="16">
        <f t="shared" si="0"/>
        <v>609</v>
      </c>
      <c r="E34" s="16">
        <f t="shared" si="1"/>
        <v>0</v>
      </c>
      <c r="F34" s="16">
        <f t="shared" si="2"/>
        <v>4142</v>
      </c>
      <c r="G34" s="17">
        <f>F34*(Constant!$B$11/365)</f>
        <v>304.12493150684935</v>
      </c>
      <c r="H34" s="16">
        <f>IF(F34&lt;'Manager''s Page'!$B$11,'Manager''s Page'!$B$14,0)</f>
        <v>0</v>
      </c>
      <c r="I34" s="17" cm="1">
        <f t="array" ref="I34">_xlfn.IFS(H34&lt;Constant!$A$3,0,H34&lt;Constant!$A$4,375,H34&lt;Constant!$A$5,275,H34&lt;Constant!$A$6,175)</f>
        <v>0</v>
      </c>
      <c r="J34" s="16">
        <f t="shared" si="3"/>
        <v>609</v>
      </c>
      <c r="K34" s="16">
        <f t="shared" si="4"/>
        <v>4142</v>
      </c>
      <c r="L34" s="14">
        <f t="shared" si="5"/>
        <v>609</v>
      </c>
      <c r="M34" s="44">
        <f t="shared" si="6"/>
        <v>4142</v>
      </c>
    </row>
    <row r="35" spans="1:13" x14ac:dyDescent="0.25">
      <c r="A35" s="14">
        <f>'Manager''s Page'!H35</f>
        <v>33</v>
      </c>
      <c r="B35" s="15">
        <f t="shared" si="7"/>
        <v>4142</v>
      </c>
      <c r="C35" s="16">
        <f>'Manager''s Page'!I35</f>
        <v>644</v>
      </c>
      <c r="D35" s="16">
        <f t="shared" si="0"/>
        <v>644</v>
      </c>
      <c r="E35" s="16">
        <f t="shared" si="1"/>
        <v>0</v>
      </c>
      <c r="F35" s="16">
        <f t="shared" si="2"/>
        <v>3498</v>
      </c>
      <c r="G35" s="17">
        <f>F35*(Constant!$B$11/365)</f>
        <v>256.83945205479455</v>
      </c>
      <c r="H35" s="16">
        <f>IF(F35&lt;'Manager''s Page'!$B$11,'Manager''s Page'!$B$14,0)</f>
        <v>0</v>
      </c>
      <c r="I35" s="17" cm="1">
        <f t="array" ref="I35">_xlfn.IFS(H35&lt;Constant!$A$3,0,H35&lt;Constant!$A$4,375,H35&lt;Constant!$A$5,275,H35&lt;Constant!$A$6,175)</f>
        <v>0</v>
      </c>
      <c r="J35" s="16">
        <f t="shared" si="3"/>
        <v>644</v>
      </c>
      <c r="K35" s="16">
        <f t="shared" si="4"/>
        <v>3498</v>
      </c>
      <c r="L35" s="14">
        <f t="shared" si="5"/>
        <v>644</v>
      </c>
      <c r="M35" s="44">
        <f t="shared" si="6"/>
        <v>3498</v>
      </c>
    </row>
    <row r="36" spans="1:13" x14ac:dyDescent="0.25">
      <c r="A36" s="14">
        <f>'Manager''s Page'!H36</f>
        <v>34</v>
      </c>
      <c r="B36" s="15">
        <f t="shared" si="7"/>
        <v>3498</v>
      </c>
      <c r="C36" s="16">
        <f>'Manager''s Page'!I36</f>
        <v>954</v>
      </c>
      <c r="D36" s="16">
        <f t="shared" si="0"/>
        <v>954</v>
      </c>
      <c r="E36" s="16">
        <f t="shared" si="1"/>
        <v>0</v>
      </c>
      <c r="F36" s="16">
        <f t="shared" si="2"/>
        <v>2544</v>
      </c>
      <c r="G36" s="17">
        <f>F36*(Constant!$B$11/365)</f>
        <v>186.79232876712331</v>
      </c>
      <c r="H36" s="16">
        <f>IF(F36&lt;'Manager''s Page'!$B$11,'Manager''s Page'!$B$14,0)</f>
        <v>0</v>
      </c>
      <c r="I36" s="17" cm="1">
        <f t="array" ref="I36">_xlfn.IFS(H36&lt;Constant!$A$3,0,H36&lt;Constant!$A$4,375,H36&lt;Constant!$A$5,275,H36&lt;Constant!$A$6,175)</f>
        <v>0</v>
      </c>
      <c r="J36" s="16">
        <f t="shared" si="3"/>
        <v>954</v>
      </c>
      <c r="K36" s="16">
        <f t="shared" si="4"/>
        <v>2544</v>
      </c>
      <c r="L36" s="14">
        <f t="shared" si="5"/>
        <v>954</v>
      </c>
      <c r="M36" s="44">
        <f t="shared" si="6"/>
        <v>2544</v>
      </c>
    </row>
    <row r="37" spans="1:13" x14ac:dyDescent="0.25">
      <c r="A37" s="14">
        <f>'Manager''s Page'!H37</f>
        <v>35</v>
      </c>
      <c r="B37" s="15">
        <f t="shared" si="7"/>
        <v>2544</v>
      </c>
      <c r="C37" s="16">
        <f>'Manager''s Page'!I37</f>
        <v>854</v>
      </c>
      <c r="D37" s="16">
        <f t="shared" si="0"/>
        <v>854</v>
      </c>
      <c r="E37" s="16">
        <f t="shared" si="1"/>
        <v>0</v>
      </c>
      <c r="F37" s="16">
        <f t="shared" si="2"/>
        <v>1690</v>
      </c>
      <c r="G37" s="17">
        <f>F37*(Constant!$B$11/365)</f>
        <v>124.08767123287673</v>
      </c>
      <c r="H37" s="16">
        <f>IF(F37&lt;'Manager''s Page'!$B$11,'Manager''s Page'!$B$14,0)</f>
        <v>0</v>
      </c>
      <c r="I37" s="17" cm="1">
        <f t="array" ref="I37">_xlfn.IFS(H37&lt;Constant!$A$3,0,H37&lt;Constant!$A$4,375,H37&lt;Constant!$A$5,275,H37&lt;Constant!$A$6,175)</f>
        <v>0</v>
      </c>
      <c r="J37" s="16">
        <f t="shared" si="3"/>
        <v>854</v>
      </c>
      <c r="K37" s="16">
        <f t="shared" si="4"/>
        <v>1690</v>
      </c>
      <c r="L37" s="14">
        <f t="shared" si="5"/>
        <v>854</v>
      </c>
      <c r="M37" s="44">
        <f t="shared" si="6"/>
        <v>1690</v>
      </c>
    </row>
    <row r="38" spans="1:13" x14ac:dyDescent="0.25">
      <c r="A38" s="14">
        <f>'Manager''s Page'!H38</f>
        <v>36</v>
      </c>
      <c r="B38" s="15">
        <f t="shared" si="7"/>
        <v>1690</v>
      </c>
      <c r="C38" s="16">
        <f>'Manager''s Page'!I38</f>
        <v>334</v>
      </c>
      <c r="D38" s="16">
        <f t="shared" si="0"/>
        <v>334</v>
      </c>
      <c r="E38" s="16">
        <f t="shared" si="1"/>
        <v>0</v>
      </c>
      <c r="F38" s="16">
        <f t="shared" si="2"/>
        <v>1356</v>
      </c>
      <c r="G38" s="17">
        <f>F38*(Constant!$B$11/365)</f>
        <v>99.563835616438368</v>
      </c>
      <c r="H38" s="16">
        <f>IF(F38&lt;'Manager''s Page'!$B$11,'Manager''s Page'!$B$14,0)</f>
        <v>0</v>
      </c>
      <c r="I38" s="17" cm="1">
        <f t="array" ref="I38">_xlfn.IFS(H38&lt;Constant!$A$3,0,H38&lt;Constant!$A$4,375,H38&lt;Constant!$A$5,275,H38&lt;Constant!$A$6,175)</f>
        <v>0</v>
      </c>
      <c r="J38" s="16">
        <f t="shared" si="3"/>
        <v>334</v>
      </c>
      <c r="K38" s="16">
        <f t="shared" si="4"/>
        <v>1356</v>
      </c>
      <c r="L38" s="14">
        <f t="shared" si="5"/>
        <v>334</v>
      </c>
      <c r="M38" s="44">
        <f t="shared" si="6"/>
        <v>1356</v>
      </c>
    </row>
    <row r="39" spans="1:13" x14ac:dyDescent="0.25">
      <c r="A39" s="14">
        <f>'Manager''s Page'!H39</f>
        <v>37</v>
      </c>
      <c r="B39" s="15">
        <f t="shared" si="7"/>
        <v>1356</v>
      </c>
      <c r="C39" s="16">
        <f>'Manager''s Page'!I39</f>
        <v>349</v>
      </c>
      <c r="D39" s="16">
        <f t="shared" si="0"/>
        <v>349</v>
      </c>
      <c r="E39" s="16">
        <f t="shared" si="1"/>
        <v>0</v>
      </c>
      <c r="F39" s="16">
        <f t="shared" si="2"/>
        <v>1007</v>
      </c>
      <c r="G39" s="17">
        <f>F39*(Constant!$B$11/365)</f>
        <v>73.938630136986305</v>
      </c>
      <c r="H39" s="16">
        <f>IF(F39&lt;'Manager''s Page'!$B$11,'Manager''s Page'!$B$14,0)</f>
        <v>0</v>
      </c>
      <c r="I39" s="17" cm="1">
        <f t="array" ref="I39">_xlfn.IFS(H39&lt;Constant!$A$3,0,H39&lt;Constant!$A$4,375,H39&lt;Constant!$A$5,275,H39&lt;Constant!$A$6,175)</f>
        <v>0</v>
      </c>
      <c r="J39" s="16">
        <f t="shared" si="3"/>
        <v>349</v>
      </c>
      <c r="K39" s="16">
        <f t="shared" si="4"/>
        <v>1007</v>
      </c>
      <c r="L39" s="14">
        <f t="shared" si="5"/>
        <v>349</v>
      </c>
      <c r="M39" s="44">
        <f t="shared" si="6"/>
        <v>1007</v>
      </c>
    </row>
    <row r="40" spans="1:13" x14ac:dyDescent="0.25">
      <c r="A40" s="14">
        <f>'Manager''s Page'!H40</f>
        <v>38</v>
      </c>
      <c r="B40" s="15">
        <f t="shared" si="7"/>
        <v>1007</v>
      </c>
      <c r="C40" s="16">
        <f>'Manager''s Page'!I40</f>
        <v>597</v>
      </c>
      <c r="D40" s="16">
        <f t="shared" si="0"/>
        <v>597</v>
      </c>
      <c r="E40" s="16">
        <f t="shared" si="1"/>
        <v>0</v>
      </c>
      <c r="F40" s="16">
        <f t="shared" si="2"/>
        <v>410</v>
      </c>
      <c r="G40" s="17">
        <f>F40*(Constant!$B$11/365)</f>
        <v>30.104109589041098</v>
      </c>
      <c r="H40" s="16">
        <f>IF(F40&lt;'Manager''s Page'!$B$11,'Manager''s Page'!$B$14,0)</f>
        <v>0</v>
      </c>
      <c r="I40" s="17" cm="1">
        <f t="array" ref="I40">_xlfn.IFS(H40&lt;Constant!$A$3,0,H40&lt;Constant!$A$4,375,H40&lt;Constant!$A$5,275,H40&lt;Constant!$A$6,175)</f>
        <v>0</v>
      </c>
      <c r="J40" s="16">
        <f t="shared" si="3"/>
        <v>597</v>
      </c>
      <c r="K40" s="16">
        <f t="shared" si="4"/>
        <v>410</v>
      </c>
      <c r="L40" s="14">
        <f t="shared" si="5"/>
        <v>597</v>
      </c>
      <c r="M40" s="44">
        <f t="shared" si="6"/>
        <v>410</v>
      </c>
    </row>
    <row r="41" spans="1:13" x14ac:dyDescent="0.25">
      <c r="A41" s="14">
        <f>'Manager''s Page'!H41</f>
        <v>39</v>
      </c>
      <c r="B41" s="15">
        <f t="shared" si="7"/>
        <v>410</v>
      </c>
      <c r="C41" s="16">
        <f>'Manager''s Page'!I41</f>
        <v>318</v>
      </c>
      <c r="D41" s="16">
        <f t="shared" si="0"/>
        <v>318</v>
      </c>
      <c r="E41" s="16">
        <f t="shared" si="1"/>
        <v>0</v>
      </c>
      <c r="F41" s="16">
        <f t="shared" si="2"/>
        <v>92</v>
      </c>
      <c r="G41" s="17">
        <f>F41*(Constant!$B$11/365)</f>
        <v>6.7550684931506852</v>
      </c>
      <c r="H41" s="16">
        <f>IF(F41&lt;'Manager''s Page'!$B$11,'Manager''s Page'!$B$14,0)</f>
        <v>5000</v>
      </c>
      <c r="I41" s="17" cm="1">
        <f t="array" ref="I41">_xlfn.IFS(H41&lt;Constant!$A$3,0,H41&lt;Constant!$A$4,375,H41&lt;Constant!$A$5,275,H41&lt;Constant!$A$6,175)</f>
        <v>275</v>
      </c>
      <c r="J41" s="16">
        <f t="shared" si="3"/>
        <v>318</v>
      </c>
      <c r="K41" s="16">
        <f t="shared" si="4"/>
        <v>92</v>
      </c>
      <c r="L41" s="14">
        <f t="shared" si="5"/>
        <v>318</v>
      </c>
      <c r="M41" s="44">
        <f t="shared" si="6"/>
        <v>92</v>
      </c>
    </row>
    <row r="42" spans="1:13" x14ac:dyDescent="0.25">
      <c r="A42" s="14">
        <f>'Manager''s Page'!H42</f>
        <v>40</v>
      </c>
      <c r="B42" s="15">
        <f t="shared" si="7"/>
        <v>5092</v>
      </c>
      <c r="C42" s="16">
        <f>'Manager''s Page'!I42</f>
        <v>622</v>
      </c>
      <c r="D42" s="16">
        <f t="shared" si="0"/>
        <v>622</v>
      </c>
      <c r="E42" s="16">
        <f t="shared" si="1"/>
        <v>0</v>
      </c>
      <c r="F42" s="16">
        <f t="shared" si="2"/>
        <v>4470</v>
      </c>
      <c r="G42" s="17">
        <f>F42*(Constant!$B$11/365)</f>
        <v>328.20821917808223</v>
      </c>
      <c r="H42" s="16">
        <f>IF(F42&lt;'Manager''s Page'!$B$11,'Manager''s Page'!$B$14,0)</f>
        <v>0</v>
      </c>
      <c r="I42" s="17" cm="1">
        <f t="array" ref="I42">_xlfn.IFS(H42&lt;Constant!$A$3,0,H42&lt;Constant!$A$4,375,H42&lt;Constant!$A$5,275,H42&lt;Constant!$A$6,175)</f>
        <v>0</v>
      </c>
      <c r="J42" s="16">
        <f t="shared" si="3"/>
        <v>622</v>
      </c>
      <c r="K42" s="16">
        <f t="shared" si="4"/>
        <v>4470</v>
      </c>
      <c r="L42" s="14">
        <f t="shared" si="5"/>
        <v>622</v>
      </c>
      <c r="M42" s="44">
        <f t="shared" si="6"/>
        <v>4470</v>
      </c>
    </row>
    <row r="43" spans="1:13" x14ac:dyDescent="0.25">
      <c r="A43" s="14">
        <f>'Manager''s Page'!H43</f>
        <v>41</v>
      </c>
      <c r="B43" s="15">
        <f t="shared" si="7"/>
        <v>4470</v>
      </c>
      <c r="C43" s="16">
        <f>'Manager''s Page'!I43</f>
        <v>575</v>
      </c>
      <c r="D43" s="16">
        <f t="shared" si="0"/>
        <v>575</v>
      </c>
      <c r="E43" s="16">
        <f t="shared" si="1"/>
        <v>0</v>
      </c>
      <c r="F43" s="16">
        <f t="shared" si="2"/>
        <v>3895</v>
      </c>
      <c r="G43" s="17">
        <f>F43*(Constant!$B$11/365)</f>
        <v>285.98904109589046</v>
      </c>
      <c r="H43" s="16">
        <f>IF(F43&lt;'Manager''s Page'!$B$11,'Manager''s Page'!$B$14,0)</f>
        <v>0</v>
      </c>
      <c r="I43" s="17" cm="1">
        <f t="array" ref="I43">_xlfn.IFS(H43&lt;Constant!$A$3,0,H43&lt;Constant!$A$4,375,H43&lt;Constant!$A$5,275,H43&lt;Constant!$A$6,175)</f>
        <v>0</v>
      </c>
      <c r="J43" s="16">
        <f t="shared" si="3"/>
        <v>575</v>
      </c>
      <c r="K43" s="16">
        <f t="shared" si="4"/>
        <v>3895</v>
      </c>
      <c r="L43" s="14">
        <f t="shared" si="5"/>
        <v>575</v>
      </c>
      <c r="M43" s="44">
        <f t="shared" si="6"/>
        <v>3895</v>
      </c>
    </row>
    <row r="44" spans="1:13" x14ac:dyDescent="0.25">
      <c r="A44" s="14">
        <f>'Manager''s Page'!H44</f>
        <v>42</v>
      </c>
      <c r="B44" s="15">
        <f t="shared" si="7"/>
        <v>3895</v>
      </c>
      <c r="C44" s="16">
        <f>'Manager''s Page'!I44</f>
        <v>671</v>
      </c>
      <c r="D44" s="16">
        <f t="shared" si="0"/>
        <v>671</v>
      </c>
      <c r="E44" s="16">
        <f t="shared" si="1"/>
        <v>0</v>
      </c>
      <c r="F44" s="16">
        <f t="shared" si="2"/>
        <v>3224</v>
      </c>
      <c r="G44" s="17">
        <f>F44*(Constant!$B$11/365)</f>
        <v>236.72109589041099</v>
      </c>
      <c r="H44" s="16">
        <f>IF(F44&lt;'Manager''s Page'!$B$11,'Manager''s Page'!$B$14,0)</f>
        <v>0</v>
      </c>
      <c r="I44" s="17" cm="1">
        <f t="array" ref="I44">_xlfn.IFS(H44&lt;Constant!$A$3,0,H44&lt;Constant!$A$4,375,H44&lt;Constant!$A$5,275,H44&lt;Constant!$A$6,175)</f>
        <v>0</v>
      </c>
      <c r="J44" s="16">
        <f t="shared" si="3"/>
        <v>671</v>
      </c>
      <c r="K44" s="16">
        <f t="shared" si="4"/>
        <v>3224</v>
      </c>
      <c r="L44" s="14">
        <f t="shared" si="5"/>
        <v>671</v>
      </c>
      <c r="M44" s="44">
        <f t="shared" si="6"/>
        <v>3224</v>
      </c>
    </row>
    <row r="45" spans="1:13" x14ac:dyDescent="0.25">
      <c r="A45" s="14">
        <f>'Manager''s Page'!H45</f>
        <v>43</v>
      </c>
      <c r="B45" s="15">
        <f t="shared" si="7"/>
        <v>3224</v>
      </c>
      <c r="C45" s="16">
        <f>'Manager''s Page'!I45</f>
        <v>824</v>
      </c>
      <c r="D45" s="16">
        <f t="shared" si="0"/>
        <v>824</v>
      </c>
      <c r="E45" s="16">
        <f t="shared" si="1"/>
        <v>0</v>
      </c>
      <c r="F45" s="16">
        <f t="shared" si="2"/>
        <v>2400</v>
      </c>
      <c r="G45" s="17">
        <f>F45*(Constant!$B$11/365)</f>
        <v>176.2191780821918</v>
      </c>
      <c r="H45" s="16">
        <f>IF(F45&lt;'Manager''s Page'!$B$11,'Manager''s Page'!$B$14,0)</f>
        <v>0</v>
      </c>
      <c r="I45" s="17" cm="1">
        <f t="array" ref="I45">_xlfn.IFS(H45&lt;Constant!$A$3,0,H45&lt;Constant!$A$4,375,H45&lt;Constant!$A$5,275,H45&lt;Constant!$A$6,175)</f>
        <v>0</v>
      </c>
      <c r="J45" s="16">
        <f t="shared" si="3"/>
        <v>824</v>
      </c>
      <c r="K45" s="16">
        <f t="shared" si="4"/>
        <v>2400</v>
      </c>
      <c r="L45" s="14">
        <f t="shared" si="5"/>
        <v>824</v>
      </c>
      <c r="M45" s="44">
        <f t="shared" si="6"/>
        <v>2400</v>
      </c>
    </row>
    <row r="46" spans="1:13" x14ac:dyDescent="0.25">
      <c r="A46" s="14">
        <f>'Manager''s Page'!H46</f>
        <v>44</v>
      </c>
      <c r="B46" s="15">
        <f t="shared" si="7"/>
        <v>2400</v>
      </c>
      <c r="C46" s="16">
        <f>'Manager''s Page'!I46</f>
        <v>488</v>
      </c>
      <c r="D46" s="16">
        <f t="shared" si="0"/>
        <v>488</v>
      </c>
      <c r="E46" s="16">
        <f t="shared" si="1"/>
        <v>0</v>
      </c>
      <c r="F46" s="16">
        <f t="shared" si="2"/>
        <v>1912</v>
      </c>
      <c r="G46" s="17">
        <f>F46*(Constant!$B$11/365)</f>
        <v>140.38794520547947</v>
      </c>
      <c r="H46" s="16">
        <f>IF(F46&lt;'Manager''s Page'!$B$11,'Manager''s Page'!$B$14,0)</f>
        <v>0</v>
      </c>
      <c r="I46" s="17" cm="1">
        <f t="array" ref="I46">_xlfn.IFS(H46&lt;Constant!$A$3,0,H46&lt;Constant!$A$4,375,H46&lt;Constant!$A$5,275,H46&lt;Constant!$A$6,175)</f>
        <v>0</v>
      </c>
      <c r="J46" s="16">
        <f t="shared" si="3"/>
        <v>488</v>
      </c>
      <c r="K46" s="16">
        <f t="shared" si="4"/>
        <v>1912</v>
      </c>
      <c r="L46" s="14">
        <f t="shared" si="5"/>
        <v>488</v>
      </c>
      <c r="M46" s="44">
        <f t="shared" si="6"/>
        <v>1912</v>
      </c>
    </row>
    <row r="47" spans="1:13" x14ac:dyDescent="0.25">
      <c r="A47" s="14">
        <f>'Manager''s Page'!H47</f>
        <v>45</v>
      </c>
      <c r="B47" s="15">
        <f t="shared" si="7"/>
        <v>1912</v>
      </c>
      <c r="C47" s="16">
        <f>'Manager''s Page'!I47</f>
        <v>229</v>
      </c>
      <c r="D47" s="16">
        <f t="shared" si="0"/>
        <v>229</v>
      </c>
      <c r="E47" s="16">
        <f t="shared" si="1"/>
        <v>0</v>
      </c>
      <c r="F47" s="16">
        <f t="shared" si="2"/>
        <v>1683</v>
      </c>
      <c r="G47" s="17">
        <f>F47*(Constant!$B$11/365)</f>
        <v>123.573698630137</v>
      </c>
      <c r="H47" s="16">
        <f>IF(F47&lt;'Manager''s Page'!$B$11,'Manager''s Page'!$B$14,0)</f>
        <v>0</v>
      </c>
      <c r="I47" s="17" cm="1">
        <f t="array" ref="I47">_xlfn.IFS(H47&lt;Constant!$A$3,0,H47&lt;Constant!$A$4,375,H47&lt;Constant!$A$5,275,H47&lt;Constant!$A$6,175)</f>
        <v>0</v>
      </c>
      <c r="J47" s="16">
        <f t="shared" si="3"/>
        <v>229</v>
      </c>
      <c r="K47" s="16">
        <f t="shared" si="4"/>
        <v>1683</v>
      </c>
      <c r="L47" s="14">
        <f t="shared" si="5"/>
        <v>229</v>
      </c>
      <c r="M47" s="44">
        <f t="shared" si="6"/>
        <v>1683</v>
      </c>
    </row>
    <row r="48" spans="1:13" x14ac:dyDescent="0.25">
      <c r="A48" s="14">
        <f>'Manager''s Page'!H48</f>
        <v>46</v>
      </c>
      <c r="B48" s="15">
        <f t="shared" si="7"/>
        <v>1683</v>
      </c>
      <c r="C48" s="16">
        <f>'Manager''s Page'!I48</f>
        <v>234</v>
      </c>
      <c r="D48" s="16">
        <f t="shared" si="0"/>
        <v>234</v>
      </c>
      <c r="E48" s="16">
        <f t="shared" si="1"/>
        <v>0</v>
      </c>
      <c r="F48" s="16">
        <f t="shared" si="2"/>
        <v>1449</v>
      </c>
      <c r="G48" s="17">
        <f>F48*(Constant!$B$11/365)</f>
        <v>106.3923287671233</v>
      </c>
      <c r="H48" s="16">
        <f>IF(F48&lt;'Manager''s Page'!$B$11,'Manager''s Page'!$B$14,0)</f>
        <v>0</v>
      </c>
      <c r="I48" s="17" cm="1">
        <f t="array" ref="I48">_xlfn.IFS(H48&lt;Constant!$A$3,0,H48&lt;Constant!$A$4,375,H48&lt;Constant!$A$5,275,H48&lt;Constant!$A$6,175)</f>
        <v>0</v>
      </c>
      <c r="J48" s="16">
        <f t="shared" si="3"/>
        <v>234</v>
      </c>
      <c r="K48" s="16">
        <f t="shared" si="4"/>
        <v>1449</v>
      </c>
      <c r="L48" s="14">
        <f t="shared" si="5"/>
        <v>234</v>
      </c>
      <c r="M48" s="44">
        <f t="shared" si="6"/>
        <v>1449</v>
      </c>
    </row>
    <row r="49" spans="1:13" x14ac:dyDescent="0.25">
      <c r="A49" s="14">
        <f>'Manager''s Page'!H49</f>
        <v>47</v>
      </c>
      <c r="B49" s="15">
        <f t="shared" si="7"/>
        <v>1449</v>
      </c>
      <c r="C49" s="16">
        <f>'Manager''s Page'!I49</f>
        <v>569</v>
      </c>
      <c r="D49" s="16">
        <f t="shared" si="0"/>
        <v>569</v>
      </c>
      <c r="E49" s="16">
        <f t="shared" si="1"/>
        <v>0</v>
      </c>
      <c r="F49" s="16">
        <f t="shared" si="2"/>
        <v>880</v>
      </c>
      <c r="G49" s="17">
        <f>F49*(Constant!$B$11/365)</f>
        <v>64.613698630136994</v>
      </c>
      <c r="H49" s="16">
        <f>IF(F49&lt;'Manager''s Page'!$B$11,'Manager''s Page'!$B$14,0)</f>
        <v>0</v>
      </c>
      <c r="I49" s="17" cm="1">
        <f t="array" ref="I49">_xlfn.IFS(H49&lt;Constant!$A$3,0,H49&lt;Constant!$A$4,375,H49&lt;Constant!$A$5,275,H49&lt;Constant!$A$6,175)</f>
        <v>0</v>
      </c>
      <c r="J49" s="16">
        <f t="shared" si="3"/>
        <v>569</v>
      </c>
      <c r="K49" s="16">
        <f t="shared" si="4"/>
        <v>880</v>
      </c>
      <c r="L49" s="14">
        <f t="shared" si="5"/>
        <v>569</v>
      </c>
      <c r="M49" s="44">
        <f t="shared" si="6"/>
        <v>880</v>
      </c>
    </row>
    <row r="50" spans="1:13" x14ac:dyDescent="0.25">
      <c r="A50" s="14">
        <f>'Manager''s Page'!H50</f>
        <v>48</v>
      </c>
      <c r="B50" s="15">
        <f t="shared" si="7"/>
        <v>880</v>
      </c>
      <c r="C50" s="16">
        <f>'Manager''s Page'!I50</f>
        <v>969</v>
      </c>
      <c r="D50" s="16">
        <f t="shared" si="0"/>
        <v>880</v>
      </c>
      <c r="E50" s="16">
        <f t="shared" si="1"/>
        <v>89</v>
      </c>
      <c r="F50" s="16">
        <f t="shared" si="2"/>
        <v>0</v>
      </c>
      <c r="G50" s="17">
        <f>F50*(Constant!$B$11/365)</f>
        <v>0</v>
      </c>
      <c r="H50" s="16">
        <f>IF(F50&lt;'Manager''s Page'!$B$11,'Manager''s Page'!$B$14,0)</f>
        <v>5000</v>
      </c>
      <c r="I50" s="17" cm="1">
        <f t="array" ref="I50">_xlfn.IFS(H50&lt;Constant!$A$3,0,H50&lt;Constant!$A$4,375,H50&lt;Constant!$A$5,275,H50&lt;Constant!$A$6,175)</f>
        <v>275</v>
      </c>
      <c r="J50" s="16">
        <f t="shared" si="3"/>
        <v>969</v>
      </c>
      <c r="K50" s="16">
        <f t="shared" si="4"/>
        <v>0</v>
      </c>
      <c r="L50" s="14">
        <f t="shared" si="5"/>
        <v>969</v>
      </c>
      <c r="M50" s="44">
        <f t="shared" si="6"/>
        <v>0</v>
      </c>
    </row>
    <row r="51" spans="1:13" x14ac:dyDescent="0.25">
      <c r="A51" s="14">
        <f>'Manager''s Page'!H51</f>
        <v>49</v>
      </c>
      <c r="B51" s="15">
        <f t="shared" si="7"/>
        <v>5000</v>
      </c>
      <c r="C51" s="16">
        <f>'Manager''s Page'!I51</f>
        <v>539</v>
      </c>
      <c r="D51" s="16">
        <f t="shared" si="0"/>
        <v>539</v>
      </c>
      <c r="E51" s="16">
        <f t="shared" si="1"/>
        <v>0</v>
      </c>
      <c r="F51" s="16">
        <f t="shared" si="2"/>
        <v>4461</v>
      </c>
      <c r="G51" s="17">
        <f>F51*(Constant!$B$11/365)</f>
        <v>327.54739726027401</v>
      </c>
      <c r="H51" s="16">
        <f>IF(F51&lt;'Manager''s Page'!$B$11,'Manager''s Page'!$B$14,0)</f>
        <v>0</v>
      </c>
      <c r="I51" s="17" cm="1">
        <f t="array" ref="I51">_xlfn.IFS(H51&lt;Constant!$A$3,0,H51&lt;Constant!$A$4,375,H51&lt;Constant!$A$5,275,H51&lt;Constant!$A$6,175)</f>
        <v>0</v>
      </c>
      <c r="J51" s="16">
        <f t="shared" si="3"/>
        <v>539</v>
      </c>
      <c r="K51" s="16">
        <f t="shared" si="4"/>
        <v>4461</v>
      </c>
      <c r="L51" s="14">
        <f t="shared" si="5"/>
        <v>539</v>
      </c>
      <c r="M51" s="44">
        <f t="shared" si="6"/>
        <v>4461</v>
      </c>
    </row>
    <row r="52" spans="1:13" x14ac:dyDescent="0.25">
      <c r="A52" s="14">
        <f>'Manager''s Page'!H52</f>
        <v>50</v>
      </c>
      <c r="B52" s="15">
        <f t="shared" si="7"/>
        <v>4461</v>
      </c>
      <c r="C52" s="16">
        <f>'Manager''s Page'!I52</f>
        <v>584</v>
      </c>
      <c r="D52" s="16">
        <f t="shared" si="0"/>
        <v>584</v>
      </c>
      <c r="E52" s="16">
        <f t="shared" si="1"/>
        <v>0</v>
      </c>
      <c r="F52" s="16">
        <f t="shared" si="2"/>
        <v>3877</v>
      </c>
      <c r="G52" s="17">
        <f>F52*(Constant!$B$11/365)</f>
        <v>284.66739726027402</v>
      </c>
      <c r="H52" s="16">
        <f>IF(F52&lt;'Manager''s Page'!$B$11,'Manager''s Page'!$B$14,0)</f>
        <v>0</v>
      </c>
      <c r="I52" s="17" cm="1">
        <f t="array" ref="I52">_xlfn.IFS(H52&lt;Constant!$A$3,0,H52&lt;Constant!$A$4,375,H52&lt;Constant!$A$5,275,H52&lt;Constant!$A$6,175)</f>
        <v>0</v>
      </c>
      <c r="J52" s="16">
        <f t="shared" si="3"/>
        <v>584</v>
      </c>
      <c r="K52" s="16">
        <f t="shared" si="4"/>
        <v>3877</v>
      </c>
      <c r="L52" s="14">
        <f t="shared" si="5"/>
        <v>584</v>
      </c>
      <c r="M52" s="44">
        <f t="shared" si="6"/>
        <v>3877</v>
      </c>
    </row>
    <row r="53" spans="1:13" x14ac:dyDescent="0.25">
      <c r="A53" s="14">
        <f>'Manager''s Page'!H53</f>
        <v>51</v>
      </c>
      <c r="B53" s="15">
        <f t="shared" si="7"/>
        <v>3877</v>
      </c>
      <c r="C53" s="16">
        <f>'Manager''s Page'!I53</f>
        <v>278</v>
      </c>
      <c r="D53" s="16">
        <f t="shared" si="0"/>
        <v>278</v>
      </c>
      <c r="E53" s="16">
        <f t="shared" si="1"/>
        <v>0</v>
      </c>
      <c r="F53" s="16">
        <f t="shared" si="2"/>
        <v>3599</v>
      </c>
      <c r="G53" s="17">
        <f>F53*(Constant!$B$11/365)</f>
        <v>264.25534246575347</v>
      </c>
      <c r="H53" s="16">
        <f>IF(F53&lt;'Manager''s Page'!$B$11,'Manager''s Page'!$B$14,0)</f>
        <v>0</v>
      </c>
      <c r="I53" s="17" cm="1">
        <f t="array" ref="I53">_xlfn.IFS(H53&lt;Constant!$A$3,0,H53&lt;Constant!$A$4,375,H53&lt;Constant!$A$5,275,H53&lt;Constant!$A$6,175)</f>
        <v>0</v>
      </c>
      <c r="J53" s="16">
        <f t="shared" si="3"/>
        <v>278</v>
      </c>
      <c r="K53" s="16">
        <f t="shared" si="4"/>
        <v>3599</v>
      </c>
      <c r="L53" s="14">
        <f t="shared" si="5"/>
        <v>278</v>
      </c>
      <c r="M53" s="44">
        <f t="shared" si="6"/>
        <v>3599</v>
      </c>
    </row>
    <row r="54" spans="1:13" x14ac:dyDescent="0.25">
      <c r="A54" s="14">
        <f>'Manager''s Page'!H54</f>
        <v>52</v>
      </c>
      <c r="B54" s="15">
        <f t="shared" si="7"/>
        <v>3599</v>
      </c>
      <c r="C54" s="16">
        <f>'Manager''s Page'!I54</f>
        <v>828</v>
      </c>
      <c r="D54" s="16">
        <f t="shared" si="0"/>
        <v>828</v>
      </c>
      <c r="E54" s="16">
        <f t="shared" si="1"/>
        <v>0</v>
      </c>
      <c r="F54" s="16">
        <f t="shared" si="2"/>
        <v>2771</v>
      </c>
      <c r="G54" s="17">
        <f>F54*(Constant!$B$11/365)</f>
        <v>203.45972602739727</v>
      </c>
      <c r="H54" s="16">
        <f>IF(F54&lt;'Manager''s Page'!$B$11,'Manager''s Page'!$B$14,0)</f>
        <v>0</v>
      </c>
      <c r="I54" s="17" cm="1">
        <f t="array" ref="I54">_xlfn.IFS(H54&lt;Constant!$A$3,0,H54&lt;Constant!$A$4,375,H54&lt;Constant!$A$5,275,H54&lt;Constant!$A$6,175)</f>
        <v>0</v>
      </c>
      <c r="J54" s="16">
        <f t="shared" si="3"/>
        <v>828</v>
      </c>
      <c r="K54" s="16">
        <f t="shared" si="4"/>
        <v>2771</v>
      </c>
      <c r="L54" s="14">
        <f t="shared" si="5"/>
        <v>828</v>
      </c>
      <c r="M54" s="44">
        <f t="shared" si="6"/>
        <v>2771</v>
      </c>
    </row>
    <row r="55" spans="1:13" x14ac:dyDescent="0.25">
      <c r="A55" s="14">
        <f>'Manager''s Page'!H55</f>
        <v>53</v>
      </c>
      <c r="B55" s="15">
        <f t="shared" si="7"/>
        <v>2771</v>
      </c>
      <c r="C55" s="16">
        <f>'Manager''s Page'!I55</f>
        <v>669</v>
      </c>
      <c r="D55" s="16">
        <f t="shared" si="0"/>
        <v>669</v>
      </c>
      <c r="E55" s="16">
        <f t="shared" si="1"/>
        <v>0</v>
      </c>
      <c r="F55" s="16">
        <f t="shared" si="2"/>
        <v>2102</v>
      </c>
      <c r="G55" s="17">
        <f>F55*(Constant!$B$11/365)</f>
        <v>154.33863013698632</v>
      </c>
      <c r="H55" s="16">
        <f>IF(F55&lt;'Manager''s Page'!$B$11,'Manager''s Page'!$B$14,0)</f>
        <v>0</v>
      </c>
      <c r="I55" s="17" cm="1">
        <f t="array" ref="I55">_xlfn.IFS(H55&lt;Constant!$A$3,0,H55&lt;Constant!$A$4,375,H55&lt;Constant!$A$5,275,H55&lt;Constant!$A$6,175)</f>
        <v>0</v>
      </c>
      <c r="J55" s="16">
        <f t="shared" si="3"/>
        <v>669</v>
      </c>
      <c r="K55" s="16">
        <f t="shared" si="4"/>
        <v>2102</v>
      </c>
      <c r="L55" s="14">
        <f t="shared" si="5"/>
        <v>669</v>
      </c>
      <c r="M55" s="44">
        <f t="shared" si="6"/>
        <v>2102</v>
      </c>
    </row>
    <row r="56" spans="1:13" x14ac:dyDescent="0.25">
      <c r="A56" s="14">
        <f>'Manager''s Page'!H56</f>
        <v>54</v>
      </c>
      <c r="B56" s="15">
        <f t="shared" si="7"/>
        <v>2102</v>
      </c>
      <c r="C56" s="16">
        <f>'Manager''s Page'!I56</f>
        <v>816</v>
      </c>
      <c r="D56" s="16">
        <f t="shared" si="0"/>
        <v>816</v>
      </c>
      <c r="E56" s="16">
        <f t="shared" si="1"/>
        <v>0</v>
      </c>
      <c r="F56" s="16">
        <f t="shared" si="2"/>
        <v>1286</v>
      </c>
      <c r="G56" s="17">
        <f>F56*(Constant!$B$11/365)</f>
        <v>94.424109589041109</v>
      </c>
      <c r="H56" s="16">
        <f>IF(F56&lt;'Manager''s Page'!$B$11,'Manager''s Page'!$B$14,0)</f>
        <v>0</v>
      </c>
      <c r="I56" s="17" cm="1">
        <f t="array" ref="I56">_xlfn.IFS(H56&lt;Constant!$A$3,0,H56&lt;Constant!$A$4,375,H56&lt;Constant!$A$5,275,H56&lt;Constant!$A$6,175)</f>
        <v>0</v>
      </c>
      <c r="J56" s="16">
        <f t="shared" si="3"/>
        <v>816</v>
      </c>
      <c r="K56" s="16">
        <f t="shared" si="4"/>
        <v>1286</v>
      </c>
      <c r="L56" s="14">
        <f t="shared" si="5"/>
        <v>816</v>
      </c>
      <c r="M56" s="44">
        <f t="shared" si="6"/>
        <v>1286</v>
      </c>
    </row>
    <row r="57" spans="1:13" x14ac:dyDescent="0.25">
      <c r="A57" s="14">
        <f>'Manager''s Page'!H57</f>
        <v>55</v>
      </c>
      <c r="B57" s="15">
        <f t="shared" si="7"/>
        <v>1286</v>
      </c>
      <c r="C57" s="16">
        <f>'Manager''s Page'!I57</f>
        <v>856</v>
      </c>
      <c r="D57" s="16">
        <f t="shared" si="0"/>
        <v>856</v>
      </c>
      <c r="E57" s="16">
        <f t="shared" si="1"/>
        <v>0</v>
      </c>
      <c r="F57" s="16">
        <f t="shared" si="2"/>
        <v>430</v>
      </c>
      <c r="G57" s="17">
        <f>F57*(Constant!$B$11/365)</f>
        <v>31.57260273972603</v>
      </c>
      <c r="H57" s="16">
        <f>IF(F57&lt;'Manager''s Page'!$B$11,'Manager''s Page'!$B$14,0)</f>
        <v>0</v>
      </c>
      <c r="I57" s="17" cm="1">
        <f t="array" ref="I57">_xlfn.IFS(H57&lt;Constant!$A$3,0,H57&lt;Constant!$A$4,375,H57&lt;Constant!$A$5,275,H57&lt;Constant!$A$6,175)</f>
        <v>0</v>
      </c>
      <c r="J57" s="16">
        <f t="shared" si="3"/>
        <v>856</v>
      </c>
      <c r="K57" s="16">
        <f t="shared" si="4"/>
        <v>430</v>
      </c>
      <c r="L57" s="14">
        <f t="shared" si="5"/>
        <v>856</v>
      </c>
      <c r="M57" s="44">
        <f t="shared" si="6"/>
        <v>430</v>
      </c>
    </row>
    <row r="58" spans="1:13" x14ac:dyDescent="0.25">
      <c r="A58" s="14">
        <f>'Manager''s Page'!H58</f>
        <v>56</v>
      </c>
      <c r="B58" s="15">
        <f t="shared" si="7"/>
        <v>430</v>
      </c>
      <c r="C58" s="16">
        <f>'Manager''s Page'!I58</f>
        <v>754</v>
      </c>
      <c r="D58" s="16">
        <f t="shared" si="0"/>
        <v>430</v>
      </c>
      <c r="E58" s="16">
        <f t="shared" si="1"/>
        <v>324</v>
      </c>
      <c r="F58" s="16">
        <f t="shared" si="2"/>
        <v>0</v>
      </c>
      <c r="G58" s="17">
        <f>F58*(Constant!$B$11/365)</f>
        <v>0</v>
      </c>
      <c r="H58" s="16">
        <f>IF(F58&lt;'Manager''s Page'!$B$11,'Manager''s Page'!$B$14,0)</f>
        <v>5000</v>
      </c>
      <c r="I58" s="17" cm="1">
        <f t="array" ref="I58">_xlfn.IFS(H58&lt;Constant!$A$3,0,H58&lt;Constant!$A$4,375,H58&lt;Constant!$A$5,275,H58&lt;Constant!$A$6,175)</f>
        <v>275</v>
      </c>
      <c r="J58" s="16">
        <f t="shared" si="3"/>
        <v>754</v>
      </c>
      <c r="K58" s="16">
        <f t="shared" si="4"/>
        <v>0</v>
      </c>
      <c r="L58" s="14">
        <f t="shared" si="5"/>
        <v>754</v>
      </c>
      <c r="M58" s="44">
        <f t="shared" si="6"/>
        <v>0</v>
      </c>
    </row>
    <row r="59" spans="1:13" x14ac:dyDescent="0.25">
      <c r="A59" s="14">
        <f>'Manager''s Page'!H59</f>
        <v>57</v>
      </c>
      <c r="B59" s="15">
        <f t="shared" si="7"/>
        <v>5000</v>
      </c>
      <c r="C59" s="16">
        <f>'Manager''s Page'!I59</f>
        <v>253</v>
      </c>
      <c r="D59" s="16">
        <f t="shared" si="0"/>
        <v>253</v>
      </c>
      <c r="E59" s="16">
        <f t="shared" si="1"/>
        <v>0</v>
      </c>
      <c r="F59" s="16">
        <f t="shared" si="2"/>
        <v>4747</v>
      </c>
      <c r="G59" s="17">
        <f>F59*(Constant!$B$11/365)</f>
        <v>348.54684931506853</v>
      </c>
      <c r="H59" s="16">
        <f>IF(F59&lt;'Manager''s Page'!$B$11,'Manager''s Page'!$B$14,0)</f>
        <v>0</v>
      </c>
      <c r="I59" s="17" cm="1">
        <f t="array" ref="I59">_xlfn.IFS(H59&lt;Constant!$A$3,0,H59&lt;Constant!$A$4,375,H59&lt;Constant!$A$5,275,H59&lt;Constant!$A$6,175)</f>
        <v>0</v>
      </c>
      <c r="J59" s="16">
        <f t="shared" si="3"/>
        <v>253</v>
      </c>
      <c r="K59" s="16">
        <f t="shared" si="4"/>
        <v>4747</v>
      </c>
      <c r="L59" s="14">
        <f t="shared" si="5"/>
        <v>253</v>
      </c>
      <c r="M59" s="44">
        <f t="shared" si="6"/>
        <v>4747</v>
      </c>
    </row>
    <row r="60" spans="1:13" x14ac:dyDescent="0.25">
      <c r="A60" s="14">
        <f>'Manager''s Page'!H60</f>
        <v>58</v>
      </c>
      <c r="B60" s="15">
        <f t="shared" si="7"/>
        <v>4747</v>
      </c>
      <c r="C60" s="16">
        <f>'Manager''s Page'!I60</f>
        <v>679</v>
      </c>
      <c r="D60" s="16">
        <f t="shared" si="0"/>
        <v>679</v>
      </c>
      <c r="E60" s="16">
        <f t="shared" si="1"/>
        <v>0</v>
      </c>
      <c r="F60" s="16">
        <f t="shared" si="2"/>
        <v>4068</v>
      </c>
      <c r="G60" s="17">
        <f>F60*(Constant!$B$11/365)</f>
        <v>298.69150684931509</v>
      </c>
      <c r="H60" s="16">
        <f>IF(F60&lt;'Manager''s Page'!$B$11,'Manager''s Page'!$B$14,0)</f>
        <v>0</v>
      </c>
      <c r="I60" s="17" cm="1">
        <f t="array" ref="I60">_xlfn.IFS(H60&lt;Constant!$A$3,0,H60&lt;Constant!$A$4,375,H60&lt;Constant!$A$5,275,H60&lt;Constant!$A$6,175)</f>
        <v>0</v>
      </c>
      <c r="J60" s="16">
        <f t="shared" si="3"/>
        <v>679</v>
      </c>
      <c r="K60" s="16">
        <f t="shared" si="4"/>
        <v>4068</v>
      </c>
      <c r="L60" s="14">
        <f t="shared" si="5"/>
        <v>679</v>
      </c>
      <c r="M60" s="44">
        <f t="shared" si="6"/>
        <v>4068</v>
      </c>
    </row>
    <row r="61" spans="1:13" x14ac:dyDescent="0.25">
      <c r="A61" s="14">
        <f>'Manager''s Page'!H61</f>
        <v>59</v>
      </c>
      <c r="B61" s="15">
        <f t="shared" si="7"/>
        <v>4068</v>
      </c>
      <c r="C61" s="16">
        <f>'Manager''s Page'!I61</f>
        <v>767</v>
      </c>
      <c r="D61" s="16">
        <f t="shared" si="0"/>
        <v>767</v>
      </c>
      <c r="E61" s="16">
        <f t="shared" si="1"/>
        <v>0</v>
      </c>
      <c r="F61" s="16">
        <f t="shared" si="2"/>
        <v>3301</v>
      </c>
      <c r="G61" s="17">
        <f>F61*(Constant!$B$11/365)</f>
        <v>242.37479452054797</v>
      </c>
      <c r="H61" s="16">
        <f>IF(F61&lt;'Manager''s Page'!$B$11,'Manager''s Page'!$B$14,0)</f>
        <v>0</v>
      </c>
      <c r="I61" s="17" cm="1">
        <f t="array" ref="I61">_xlfn.IFS(H61&lt;Constant!$A$3,0,H61&lt;Constant!$A$4,375,H61&lt;Constant!$A$5,275,H61&lt;Constant!$A$6,175)</f>
        <v>0</v>
      </c>
      <c r="J61" s="16">
        <f t="shared" si="3"/>
        <v>767</v>
      </c>
      <c r="K61" s="16">
        <f t="shared" si="4"/>
        <v>3301</v>
      </c>
      <c r="L61" s="14">
        <f t="shared" si="5"/>
        <v>767</v>
      </c>
      <c r="M61" s="44">
        <f t="shared" si="6"/>
        <v>3301</v>
      </c>
    </row>
    <row r="62" spans="1:13" x14ac:dyDescent="0.25">
      <c r="A62" s="14">
        <f>'Manager''s Page'!H62</f>
        <v>60</v>
      </c>
      <c r="B62" s="15">
        <f t="shared" si="7"/>
        <v>3301</v>
      </c>
      <c r="C62" s="16">
        <f>'Manager''s Page'!I62</f>
        <v>696</v>
      </c>
      <c r="D62" s="16">
        <f t="shared" si="0"/>
        <v>696</v>
      </c>
      <c r="E62" s="16">
        <f t="shared" si="1"/>
        <v>0</v>
      </c>
      <c r="F62" s="16">
        <f t="shared" si="2"/>
        <v>2605</v>
      </c>
      <c r="G62" s="17">
        <f>F62*(Constant!$B$11/365)</f>
        <v>191.27123287671233</v>
      </c>
      <c r="H62" s="16">
        <f>IF(F62&lt;'Manager''s Page'!$B$11,'Manager''s Page'!$B$14,0)</f>
        <v>0</v>
      </c>
      <c r="I62" s="17" cm="1">
        <f t="array" ref="I62">_xlfn.IFS(H62&lt;Constant!$A$3,0,H62&lt;Constant!$A$4,375,H62&lt;Constant!$A$5,275,H62&lt;Constant!$A$6,175)</f>
        <v>0</v>
      </c>
      <c r="J62" s="16">
        <f t="shared" si="3"/>
        <v>696</v>
      </c>
      <c r="K62" s="16">
        <f t="shared" si="4"/>
        <v>2605</v>
      </c>
      <c r="L62" s="14">
        <f t="shared" si="5"/>
        <v>696</v>
      </c>
      <c r="M62" s="44">
        <f t="shared" si="6"/>
        <v>2605</v>
      </c>
    </row>
    <row r="63" spans="1:13" x14ac:dyDescent="0.25">
      <c r="A63" s="14">
        <f>'Manager''s Page'!H63</f>
        <v>61</v>
      </c>
      <c r="B63" s="15">
        <f t="shared" si="7"/>
        <v>2605</v>
      </c>
      <c r="C63" s="16">
        <f>'Manager''s Page'!I63</f>
        <v>535</v>
      </c>
      <c r="D63" s="16">
        <f t="shared" si="0"/>
        <v>535</v>
      </c>
      <c r="E63" s="16">
        <f t="shared" si="1"/>
        <v>0</v>
      </c>
      <c r="F63" s="16">
        <f t="shared" si="2"/>
        <v>2070</v>
      </c>
      <c r="G63" s="17">
        <f>F63*(Constant!$B$11/365)</f>
        <v>151.98904109589043</v>
      </c>
      <c r="H63" s="16">
        <f>IF(F63&lt;'Manager''s Page'!$B$11,'Manager''s Page'!$B$14,0)</f>
        <v>0</v>
      </c>
      <c r="I63" s="17" cm="1">
        <f t="array" ref="I63">_xlfn.IFS(H63&lt;Constant!$A$3,0,H63&lt;Constant!$A$4,375,H63&lt;Constant!$A$5,275,H63&lt;Constant!$A$6,175)</f>
        <v>0</v>
      </c>
      <c r="J63" s="16">
        <f t="shared" si="3"/>
        <v>535</v>
      </c>
      <c r="K63" s="16">
        <f t="shared" si="4"/>
        <v>2070</v>
      </c>
      <c r="L63" s="14">
        <f t="shared" si="5"/>
        <v>535</v>
      </c>
      <c r="M63" s="44">
        <f t="shared" si="6"/>
        <v>2070</v>
      </c>
    </row>
    <row r="64" spans="1:13" x14ac:dyDescent="0.25">
      <c r="A64" s="14">
        <f>'Manager''s Page'!H64</f>
        <v>62</v>
      </c>
      <c r="B64" s="15">
        <f t="shared" si="7"/>
        <v>2070</v>
      </c>
      <c r="C64" s="16">
        <f>'Manager''s Page'!I64</f>
        <v>959</v>
      </c>
      <c r="D64" s="16">
        <f t="shared" si="0"/>
        <v>959</v>
      </c>
      <c r="E64" s="16">
        <f t="shared" si="1"/>
        <v>0</v>
      </c>
      <c r="F64" s="16">
        <f t="shared" si="2"/>
        <v>1111</v>
      </c>
      <c r="G64" s="17">
        <f>F64*(Constant!$B$11/365)</f>
        <v>81.574794520547954</v>
      </c>
      <c r="H64" s="16">
        <f>IF(F64&lt;'Manager''s Page'!$B$11,'Manager''s Page'!$B$14,0)</f>
        <v>0</v>
      </c>
      <c r="I64" s="17" cm="1">
        <f t="array" ref="I64">_xlfn.IFS(H64&lt;Constant!$A$3,0,H64&lt;Constant!$A$4,375,H64&lt;Constant!$A$5,275,H64&lt;Constant!$A$6,175)</f>
        <v>0</v>
      </c>
      <c r="J64" s="16">
        <f t="shared" si="3"/>
        <v>959</v>
      </c>
      <c r="K64" s="16">
        <f t="shared" si="4"/>
        <v>1111</v>
      </c>
      <c r="L64" s="14">
        <f t="shared" si="5"/>
        <v>959</v>
      </c>
      <c r="M64" s="44">
        <f t="shared" si="6"/>
        <v>1111</v>
      </c>
    </row>
    <row r="65" spans="1:13" x14ac:dyDescent="0.25">
      <c r="A65" s="14">
        <f>'Manager''s Page'!H65</f>
        <v>63</v>
      </c>
      <c r="B65" s="15">
        <f t="shared" si="7"/>
        <v>1111</v>
      </c>
      <c r="C65" s="16">
        <f>'Manager''s Page'!I65</f>
        <v>837</v>
      </c>
      <c r="D65" s="16">
        <f t="shared" si="0"/>
        <v>837</v>
      </c>
      <c r="E65" s="16">
        <f t="shared" si="1"/>
        <v>0</v>
      </c>
      <c r="F65" s="16">
        <f t="shared" si="2"/>
        <v>274</v>
      </c>
      <c r="G65" s="17">
        <f>F65*(Constant!$B$11/365)</f>
        <v>20.118356164383563</v>
      </c>
      <c r="H65" s="16">
        <f>IF(F65&lt;'Manager''s Page'!$B$11,'Manager''s Page'!$B$14,0)</f>
        <v>5000</v>
      </c>
      <c r="I65" s="17" cm="1">
        <f t="array" ref="I65">_xlfn.IFS(H65&lt;Constant!$A$3,0,H65&lt;Constant!$A$4,375,H65&lt;Constant!$A$5,275,H65&lt;Constant!$A$6,175)</f>
        <v>275</v>
      </c>
      <c r="J65" s="16">
        <f t="shared" si="3"/>
        <v>837</v>
      </c>
      <c r="K65" s="16">
        <f t="shared" si="4"/>
        <v>274</v>
      </c>
      <c r="L65" s="14">
        <f t="shared" si="5"/>
        <v>837</v>
      </c>
      <c r="M65" s="44">
        <f t="shared" si="6"/>
        <v>274</v>
      </c>
    </row>
    <row r="66" spans="1:13" x14ac:dyDescent="0.25">
      <c r="A66" s="14">
        <f>'Manager''s Page'!H66</f>
        <v>64</v>
      </c>
      <c r="B66" s="15">
        <f t="shared" si="7"/>
        <v>5274</v>
      </c>
      <c r="C66" s="16">
        <f>'Manager''s Page'!I66</f>
        <v>466</v>
      </c>
      <c r="D66" s="16">
        <f t="shared" si="0"/>
        <v>466</v>
      </c>
      <c r="E66" s="16">
        <f t="shared" si="1"/>
        <v>0</v>
      </c>
      <c r="F66" s="16">
        <f t="shared" si="2"/>
        <v>4808</v>
      </c>
      <c r="G66" s="17">
        <f>F66*(Constant!$B$11/365)</f>
        <v>353.02575342465758</v>
      </c>
      <c r="H66" s="16">
        <f>IF(F66&lt;'Manager''s Page'!$B$11,'Manager''s Page'!$B$14,0)</f>
        <v>0</v>
      </c>
      <c r="I66" s="17" cm="1">
        <f t="array" ref="I66">_xlfn.IFS(H66&lt;Constant!$A$3,0,H66&lt;Constant!$A$4,375,H66&lt;Constant!$A$5,275,H66&lt;Constant!$A$6,175)</f>
        <v>0</v>
      </c>
      <c r="J66" s="16">
        <f t="shared" si="3"/>
        <v>466</v>
      </c>
      <c r="K66" s="16">
        <f t="shared" si="4"/>
        <v>4808</v>
      </c>
      <c r="L66" s="14">
        <f t="shared" si="5"/>
        <v>466</v>
      </c>
      <c r="M66" s="44">
        <f t="shared" si="6"/>
        <v>4808</v>
      </c>
    </row>
    <row r="67" spans="1:13" x14ac:dyDescent="0.25">
      <c r="A67" s="14">
        <f>'Manager''s Page'!H67</f>
        <v>65</v>
      </c>
      <c r="B67" s="15">
        <f t="shared" si="7"/>
        <v>4808</v>
      </c>
      <c r="C67" s="16">
        <f>'Manager''s Page'!I67</f>
        <v>519</v>
      </c>
      <c r="D67" s="16">
        <f t="shared" si="0"/>
        <v>519</v>
      </c>
      <c r="E67" s="16">
        <f t="shared" si="1"/>
        <v>0</v>
      </c>
      <c r="F67" s="16">
        <f t="shared" si="2"/>
        <v>4289</v>
      </c>
      <c r="G67" s="17">
        <f>F67*(Constant!$B$11/365)</f>
        <v>314.91835616438357</v>
      </c>
      <c r="H67" s="16">
        <f>IF(F67&lt;'Manager''s Page'!$B$11,'Manager''s Page'!$B$14,0)</f>
        <v>0</v>
      </c>
      <c r="I67" s="17" cm="1">
        <f t="array" ref="I67">_xlfn.IFS(H67&lt;Constant!$A$3,0,H67&lt;Constant!$A$4,375,H67&lt;Constant!$A$5,275,H67&lt;Constant!$A$6,175)</f>
        <v>0</v>
      </c>
      <c r="J67" s="16">
        <f t="shared" si="3"/>
        <v>519</v>
      </c>
      <c r="K67" s="16">
        <f t="shared" si="4"/>
        <v>4289</v>
      </c>
      <c r="L67" s="14">
        <f t="shared" si="5"/>
        <v>519</v>
      </c>
      <c r="M67" s="44">
        <f t="shared" si="6"/>
        <v>4289</v>
      </c>
    </row>
    <row r="68" spans="1:13" x14ac:dyDescent="0.25">
      <c r="A68" s="14">
        <f>'Manager''s Page'!H68</f>
        <v>66</v>
      </c>
      <c r="B68" s="15">
        <f t="shared" si="7"/>
        <v>4289</v>
      </c>
      <c r="C68" s="16">
        <f>'Manager''s Page'!I68</f>
        <v>502</v>
      </c>
      <c r="D68" s="16">
        <f t="shared" ref="D68:D131" si="8">IF(B68&gt;C68,C68,B68)</f>
        <v>502</v>
      </c>
      <c r="E68" s="16">
        <f t="shared" ref="E68:E131" si="9">C68-D68</f>
        <v>0</v>
      </c>
      <c r="F68" s="16">
        <f t="shared" ref="F68:F131" si="10">B68-D68</f>
        <v>3787</v>
      </c>
      <c r="G68" s="17">
        <f>F68*(Constant!$B$11/365)</f>
        <v>278.05917808219181</v>
      </c>
      <c r="H68" s="16">
        <f>IF(F68&lt;'Manager''s Page'!$B$11,'Manager''s Page'!$B$14,0)</f>
        <v>0</v>
      </c>
      <c r="I68" s="17" cm="1">
        <f t="array" ref="I68">_xlfn.IFS(H68&lt;Constant!$A$3,0,H68&lt;Constant!$A$4,375,H68&lt;Constant!$A$5,275,H68&lt;Constant!$A$6,175)</f>
        <v>0</v>
      </c>
      <c r="J68" s="16">
        <f t="shared" ref="J68:J131" si="11">C68</f>
        <v>502</v>
      </c>
      <c r="K68" s="16">
        <f t="shared" ref="K68:K131" si="12">F68</f>
        <v>3787</v>
      </c>
      <c r="L68" s="14">
        <f t="shared" ref="L68:L131" si="13">IF(L$2=TRUE,J68,NA())</f>
        <v>502</v>
      </c>
      <c r="M68" s="44">
        <f t="shared" ref="M68:M131" si="14">IF(M$2=TRUE,K68,NA())</f>
        <v>3787</v>
      </c>
    </row>
    <row r="69" spans="1:13" x14ac:dyDescent="0.25">
      <c r="A69" s="14">
        <f>'Manager''s Page'!H69</f>
        <v>67</v>
      </c>
      <c r="B69" s="15">
        <f t="shared" ref="B69:B132" si="15">F68+H68</f>
        <v>3787</v>
      </c>
      <c r="C69" s="16">
        <f>'Manager''s Page'!I69</f>
        <v>973</v>
      </c>
      <c r="D69" s="16">
        <f t="shared" si="8"/>
        <v>973</v>
      </c>
      <c r="E69" s="16">
        <f t="shared" si="9"/>
        <v>0</v>
      </c>
      <c r="F69" s="16">
        <f t="shared" si="10"/>
        <v>2814</v>
      </c>
      <c r="G69" s="17">
        <f>F69*(Constant!$B$11/365)</f>
        <v>206.61698630136988</v>
      </c>
      <c r="H69" s="16">
        <f>IF(F69&lt;'Manager''s Page'!$B$11,'Manager''s Page'!$B$14,0)</f>
        <v>0</v>
      </c>
      <c r="I69" s="17" cm="1">
        <f t="array" ref="I69">_xlfn.IFS(H69&lt;Constant!$A$3,0,H69&lt;Constant!$A$4,375,H69&lt;Constant!$A$5,275,H69&lt;Constant!$A$6,175)</f>
        <v>0</v>
      </c>
      <c r="J69" s="16">
        <f t="shared" si="11"/>
        <v>973</v>
      </c>
      <c r="K69" s="16">
        <f t="shared" si="12"/>
        <v>2814</v>
      </c>
      <c r="L69" s="14">
        <f t="shared" si="13"/>
        <v>973</v>
      </c>
      <c r="M69" s="44">
        <f t="shared" si="14"/>
        <v>2814</v>
      </c>
    </row>
    <row r="70" spans="1:13" x14ac:dyDescent="0.25">
      <c r="A70" s="14">
        <f>'Manager''s Page'!H70</f>
        <v>68</v>
      </c>
      <c r="B70" s="15">
        <f t="shared" si="15"/>
        <v>2814</v>
      </c>
      <c r="C70" s="16">
        <f>'Manager''s Page'!I70</f>
        <v>500</v>
      </c>
      <c r="D70" s="16">
        <f t="shared" si="8"/>
        <v>500</v>
      </c>
      <c r="E70" s="16">
        <f t="shared" si="9"/>
        <v>0</v>
      </c>
      <c r="F70" s="16">
        <f t="shared" si="10"/>
        <v>2314</v>
      </c>
      <c r="G70" s="17">
        <f>F70*(Constant!$B$11/365)</f>
        <v>169.90465753424658</v>
      </c>
      <c r="H70" s="16">
        <f>IF(F70&lt;'Manager''s Page'!$B$11,'Manager''s Page'!$B$14,0)</f>
        <v>0</v>
      </c>
      <c r="I70" s="17" cm="1">
        <f t="array" ref="I70">_xlfn.IFS(H70&lt;Constant!$A$3,0,H70&lt;Constant!$A$4,375,H70&lt;Constant!$A$5,275,H70&lt;Constant!$A$6,175)</f>
        <v>0</v>
      </c>
      <c r="J70" s="16">
        <f t="shared" si="11"/>
        <v>500</v>
      </c>
      <c r="K70" s="16">
        <f t="shared" si="12"/>
        <v>2314</v>
      </c>
      <c r="L70" s="14">
        <f t="shared" si="13"/>
        <v>500</v>
      </c>
      <c r="M70" s="44">
        <f t="shared" si="14"/>
        <v>2314</v>
      </c>
    </row>
    <row r="71" spans="1:13" x14ac:dyDescent="0.25">
      <c r="A71" s="14">
        <f>'Manager''s Page'!H71</f>
        <v>69</v>
      </c>
      <c r="B71" s="15">
        <f t="shared" si="15"/>
        <v>2314</v>
      </c>
      <c r="C71" s="16">
        <f>'Manager''s Page'!I71</f>
        <v>252</v>
      </c>
      <c r="D71" s="16">
        <f t="shared" si="8"/>
        <v>252</v>
      </c>
      <c r="E71" s="16">
        <f t="shared" si="9"/>
        <v>0</v>
      </c>
      <c r="F71" s="16">
        <f t="shared" si="10"/>
        <v>2062</v>
      </c>
      <c r="G71" s="17">
        <f>F71*(Constant!$B$11/365)</f>
        <v>151.40164383561645</v>
      </c>
      <c r="H71" s="16">
        <f>IF(F71&lt;'Manager''s Page'!$B$11,'Manager''s Page'!$B$14,0)</f>
        <v>0</v>
      </c>
      <c r="I71" s="17" cm="1">
        <f t="array" ref="I71">_xlfn.IFS(H71&lt;Constant!$A$3,0,H71&lt;Constant!$A$4,375,H71&lt;Constant!$A$5,275,H71&lt;Constant!$A$6,175)</f>
        <v>0</v>
      </c>
      <c r="J71" s="16">
        <f t="shared" si="11"/>
        <v>252</v>
      </c>
      <c r="K71" s="16">
        <f t="shared" si="12"/>
        <v>2062</v>
      </c>
      <c r="L71" s="14">
        <f t="shared" si="13"/>
        <v>252</v>
      </c>
      <c r="M71" s="44">
        <f t="shared" si="14"/>
        <v>2062</v>
      </c>
    </row>
    <row r="72" spans="1:13" x14ac:dyDescent="0.25">
      <c r="A72" s="14">
        <f>'Manager''s Page'!H72</f>
        <v>70</v>
      </c>
      <c r="B72" s="15">
        <f t="shared" si="15"/>
        <v>2062</v>
      </c>
      <c r="C72" s="16">
        <f>'Manager''s Page'!I72</f>
        <v>566</v>
      </c>
      <c r="D72" s="16">
        <f t="shared" si="8"/>
        <v>566</v>
      </c>
      <c r="E72" s="16">
        <f t="shared" si="9"/>
        <v>0</v>
      </c>
      <c r="F72" s="16">
        <f t="shared" si="10"/>
        <v>1496</v>
      </c>
      <c r="G72" s="17">
        <f>F72*(Constant!$B$11/365)</f>
        <v>109.84328767123289</v>
      </c>
      <c r="H72" s="16">
        <f>IF(F72&lt;'Manager''s Page'!$B$11,'Manager''s Page'!$B$14,0)</f>
        <v>0</v>
      </c>
      <c r="I72" s="17" cm="1">
        <f t="array" ref="I72">_xlfn.IFS(H72&lt;Constant!$A$3,0,H72&lt;Constant!$A$4,375,H72&lt;Constant!$A$5,275,H72&lt;Constant!$A$6,175)</f>
        <v>0</v>
      </c>
      <c r="J72" s="16">
        <f t="shared" si="11"/>
        <v>566</v>
      </c>
      <c r="K72" s="16">
        <f t="shared" si="12"/>
        <v>1496</v>
      </c>
      <c r="L72" s="14">
        <f t="shared" si="13"/>
        <v>566</v>
      </c>
      <c r="M72" s="44">
        <f t="shared" si="14"/>
        <v>1496</v>
      </c>
    </row>
    <row r="73" spans="1:13" x14ac:dyDescent="0.25">
      <c r="A73" s="14">
        <f>'Manager''s Page'!H73</f>
        <v>71</v>
      </c>
      <c r="B73" s="15">
        <f t="shared" si="15"/>
        <v>1496</v>
      </c>
      <c r="C73" s="16">
        <f>'Manager''s Page'!I73</f>
        <v>508</v>
      </c>
      <c r="D73" s="16">
        <f t="shared" si="8"/>
        <v>508</v>
      </c>
      <c r="E73" s="16">
        <f t="shared" si="9"/>
        <v>0</v>
      </c>
      <c r="F73" s="16">
        <f t="shared" si="10"/>
        <v>988</v>
      </c>
      <c r="G73" s="17">
        <f>F73*(Constant!$B$11/365)</f>
        <v>72.543561643835616</v>
      </c>
      <c r="H73" s="16">
        <f>IF(F73&lt;'Manager''s Page'!$B$11,'Manager''s Page'!$B$14,0)</f>
        <v>0</v>
      </c>
      <c r="I73" s="17" cm="1">
        <f t="array" ref="I73">_xlfn.IFS(H73&lt;Constant!$A$3,0,H73&lt;Constant!$A$4,375,H73&lt;Constant!$A$5,275,H73&lt;Constant!$A$6,175)</f>
        <v>0</v>
      </c>
      <c r="J73" s="16">
        <f t="shared" si="11"/>
        <v>508</v>
      </c>
      <c r="K73" s="16">
        <f t="shared" si="12"/>
        <v>988</v>
      </c>
      <c r="L73" s="14">
        <f t="shared" si="13"/>
        <v>508</v>
      </c>
      <c r="M73" s="44">
        <f t="shared" si="14"/>
        <v>988</v>
      </c>
    </row>
    <row r="74" spans="1:13" x14ac:dyDescent="0.25">
      <c r="A74" s="14">
        <f>'Manager''s Page'!H74</f>
        <v>72</v>
      </c>
      <c r="B74" s="15">
        <f t="shared" si="15"/>
        <v>988</v>
      </c>
      <c r="C74" s="16">
        <f>'Manager''s Page'!I74</f>
        <v>797</v>
      </c>
      <c r="D74" s="16">
        <f t="shared" si="8"/>
        <v>797</v>
      </c>
      <c r="E74" s="16">
        <f t="shared" si="9"/>
        <v>0</v>
      </c>
      <c r="F74" s="16">
        <f t="shared" si="10"/>
        <v>191</v>
      </c>
      <c r="G74" s="17">
        <f>F74*(Constant!$B$11/365)</f>
        <v>14.024109589041098</v>
      </c>
      <c r="H74" s="16">
        <f>IF(F74&lt;'Manager''s Page'!$B$11,'Manager''s Page'!$B$14,0)</f>
        <v>5000</v>
      </c>
      <c r="I74" s="17" cm="1">
        <f t="array" ref="I74">_xlfn.IFS(H74&lt;Constant!$A$3,0,H74&lt;Constant!$A$4,375,H74&lt;Constant!$A$5,275,H74&lt;Constant!$A$6,175)</f>
        <v>275</v>
      </c>
      <c r="J74" s="16">
        <f t="shared" si="11"/>
        <v>797</v>
      </c>
      <c r="K74" s="16">
        <f t="shared" si="12"/>
        <v>191</v>
      </c>
      <c r="L74" s="14">
        <f t="shared" si="13"/>
        <v>797</v>
      </c>
      <c r="M74" s="44">
        <f t="shared" si="14"/>
        <v>191</v>
      </c>
    </row>
    <row r="75" spans="1:13" x14ac:dyDescent="0.25">
      <c r="A75" s="14">
        <f>'Manager''s Page'!H75</f>
        <v>73</v>
      </c>
      <c r="B75" s="15">
        <f t="shared" si="15"/>
        <v>5191</v>
      </c>
      <c r="C75" s="16">
        <f>'Manager''s Page'!I75</f>
        <v>800</v>
      </c>
      <c r="D75" s="16">
        <f t="shared" si="8"/>
        <v>800</v>
      </c>
      <c r="E75" s="16">
        <f t="shared" si="9"/>
        <v>0</v>
      </c>
      <c r="F75" s="16">
        <f t="shared" si="10"/>
        <v>4391</v>
      </c>
      <c r="G75" s="17">
        <f>F75*(Constant!$B$11/365)</f>
        <v>322.40767123287674</v>
      </c>
      <c r="H75" s="16">
        <f>IF(F75&lt;'Manager''s Page'!$B$11,'Manager''s Page'!$B$14,0)</f>
        <v>0</v>
      </c>
      <c r="I75" s="17" cm="1">
        <f t="array" ref="I75">_xlfn.IFS(H75&lt;Constant!$A$3,0,H75&lt;Constant!$A$4,375,H75&lt;Constant!$A$5,275,H75&lt;Constant!$A$6,175)</f>
        <v>0</v>
      </c>
      <c r="J75" s="16">
        <f t="shared" si="11"/>
        <v>800</v>
      </c>
      <c r="K75" s="16">
        <f t="shared" si="12"/>
        <v>4391</v>
      </c>
      <c r="L75" s="14">
        <f t="shared" si="13"/>
        <v>800</v>
      </c>
      <c r="M75" s="44">
        <f t="shared" si="14"/>
        <v>4391</v>
      </c>
    </row>
    <row r="76" spans="1:13" x14ac:dyDescent="0.25">
      <c r="A76" s="14">
        <f>'Manager''s Page'!H76</f>
        <v>74</v>
      </c>
      <c r="B76" s="15">
        <f t="shared" si="15"/>
        <v>4391</v>
      </c>
      <c r="C76" s="16">
        <f>'Manager''s Page'!I76</f>
        <v>407</v>
      </c>
      <c r="D76" s="16">
        <f t="shared" si="8"/>
        <v>407</v>
      </c>
      <c r="E76" s="16">
        <f t="shared" si="9"/>
        <v>0</v>
      </c>
      <c r="F76" s="16">
        <f t="shared" si="10"/>
        <v>3984</v>
      </c>
      <c r="G76" s="17">
        <f>F76*(Constant!$B$11/365)</f>
        <v>292.52383561643836</v>
      </c>
      <c r="H76" s="16">
        <f>IF(F76&lt;'Manager''s Page'!$B$11,'Manager''s Page'!$B$14,0)</f>
        <v>0</v>
      </c>
      <c r="I76" s="17" cm="1">
        <f t="array" ref="I76">_xlfn.IFS(H76&lt;Constant!$A$3,0,H76&lt;Constant!$A$4,375,H76&lt;Constant!$A$5,275,H76&lt;Constant!$A$6,175)</f>
        <v>0</v>
      </c>
      <c r="J76" s="16">
        <f t="shared" si="11"/>
        <v>407</v>
      </c>
      <c r="K76" s="16">
        <f t="shared" si="12"/>
        <v>3984</v>
      </c>
      <c r="L76" s="14">
        <f t="shared" si="13"/>
        <v>407</v>
      </c>
      <c r="M76" s="44">
        <f t="shared" si="14"/>
        <v>3984</v>
      </c>
    </row>
    <row r="77" spans="1:13" x14ac:dyDescent="0.25">
      <c r="A77" s="14">
        <f>'Manager''s Page'!H77</f>
        <v>75</v>
      </c>
      <c r="B77" s="15">
        <f t="shared" si="15"/>
        <v>3984</v>
      </c>
      <c r="C77" s="16">
        <f>'Manager''s Page'!I77</f>
        <v>570</v>
      </c>
      <c r="D77" s="16">
        <f t="shared" si="8"/>
        <v>570</v>
      </c>
      <c r="E77" s="16">
        <f t="shared" si="9"/>
        <v>0</v>
      </c>
      <c r="F77" s="16">
        <f t="shared" si="10"/>
        <v>3414</v>
      </c>
      <c r="G77" s="17">
        <f>F77*(Constant!$B$11/365)</f>
        <v>250.67178082191782</v>
      </c>
      <c r="H77" s="16">
        <f>IF(F77&lt;'Manager''s Page'!$B$11,'Manager''s Page'!$B$14,0)</f>
        <v>0</v>
      </c>
      <c r="I77" s="17" cm="1">
        <f t="array" ref="I77">_xlfn.IFS(H77&lt;Constant!$A$3,0,H77&lt;Constant!$A$4,375,H77&lt;Constant!$A$5,275,H77&lt;Constant!$A$6,175)</f>
        <v>0</v>
      </c>
      <c r="J77" s="16">
        <f t="shared" si="11"/>
        <v>570</v>
      </c>
      <c r="K77" s="16">
        <f t="shared" si="12"/>
        <v>3414</v>
      </c>
      <c r="L77" s="14">
        <f t="shared" si="13"/>
        <v>570</v>
      </c>
      <c r="M77" s="44">
        <f t="shared" si="14"/>
        <v>3414</v>
      </c>
    </row>
    <row r="78" spans="1:13" x14ac:dyDescent="0.25">
      <c r="A78" s="14">
        <f>'Manager''s Page'!H78</f>
        <v>76</v>
      </c>
      <c r="B78" s="15">
        <f t="shared" si="15"/>
        <v>3414</v>
      </c>
      <c r="C78" s="16">
        <f>'Manager''s Page'!I78</f>
        <v>298</v>
      </c>
      <c r="D78" s="16">
        <f t="shared" si="8"/>
        <v>298</v>
      </c>
      <c r="E78" s="16">
        <f t="shared" si="9"/>
        <v>0</v>
      </c>
      <c r="F78" s="16">
        <f t="shared" si="10"/>
        <v>3116</v>
      </c>
      <c r="G78" s="17">
        <f>F78*(Constant!$B$11/365)</f>
        <v>228.79123287671234</v>
      </c>
      <c r="H78" s="16">
        <f>IF(F78&lt;'Manager''s Page'!$B$11,'Manager''s Page'!$B$14,0)</f>
        <v>0</v>
      </c>
      <c r="I78" s="17" cm="1">
        <f t="array" ref="I78">_xlfn.IFS(H78&lt;Constant!$A$3,0,H78&lt;Constant!$A$4,375,H78&lt;Constant!$A$5,275,H78&lt;Constant!$A$6,175)</f>
        <v>0</v>
      </c>
      <c r="J78" s="16">
        <f t="shared" si="11"/>
        <v>298</v>
      </c>
      <c r="K78" s="16">
        <f t="shared" si="12"/>
        <v>3116</v>
      </c>
      <c r="L78" s="14">
        <f t="shared" si="13"/>
        <v>298</v>
      </c>
      <c r="M78" s="44">
        <f t="shared" si="14"/>
        <v>3116</v>
      </c>
    </row>
    <row r="79" spans="1:13" x14ac:dyDescent="0.25">
      <c r="A79" s="14">
        <f>'Manager''s Page'!H79</f>
        <v>77</v>
      </c>
      <c r="B79" s="15">
        <f t="shared" si="15"/>
        <v>3116</v>
      </c>
      <c r="C79" s="16">
        <f>'Manager''s Page'!I79</f>
        <v>476</v>
      </c>
      <c r="D79" s="16">
        <f t="shared" si="8"/>
        <v>476</v>
      </c>
      <c r="E79" s="16">
        <f t="shared" si="9"/>
        <v>0</v>
      </c>
      <c r="F79" s="16">
        <f t="shared" si="10"/>
        <v>2640</v>
      </c>
      <c r="G79" s="17">
        <f>F79*(Constant!$B$11/365)</f>
        <v>193.84109589041097</v>
      </c>
      <c r="H79" s="16">
        <f>IF(F79&lt;'Manager''s Page'!$B$11,'Manager''s Page'!$B$14,0)</f>
        <v>0</v>
      </c>
      <c r="I79" s="17" cm="1">
        <f t="array" ref="I79">_xlfn.IFS(H79&lt;Constant!$A$3,0,H79&lt;Constant!$A$4,375,H79&lt;Constant!$A$5,275,H79&lt;Constant!$A$6,175)</f>
        <v>0</v>
      </c>
      <c r="J79" s="16">
        <f t="shared" si="11"/>
        <v>476</v>
      </c>
      <c r="K79" s="16">
        <f t="shared" si="12"/>
        <v>2640</v>
      </c>
      <c r="L79" s="14">
        <f t="shared" si="13"/>
        <v>476</v>
      </c>
      <c r="M79" s="44">
        <f t="shared" si="14"/>
        <v>2640</v>
      </c>
    </row>
    <row r="80" spans="1:13" x14ac:dyDescent="0.25">
      <c r="A80" s="14">
        <f>'Manager''s Page'!H80</f>
        <v>78</v>
      </c>
      <c r="B80" s="15">
        <f t="shared" si="15"/>
        <v>2640</v>
      </c>
      <c r="C80" s="16">
        <f>'Manager''s Page'!I80</f>
        <v>349</v>
      </c>
      <c r="D80" s="16">
        <f t="shared" si="8"/>
        <v>349</v>
      </c>
      <c r="E80" s="16">
        <f t="shared" si="9"/>
        <v>0</v>
      </c>
      <c r="F80" s="16">
        <f t="shared" si="10"/>
        <v>2291</v>
      </c>
      <c r="G80" s="17">
        <f>F80*(Constant!$B$11/365)</f>
        <v>168.21589041095891</v>
      </c>
      <c r="H80" s="16">
        <f>IF(F80&lt;'Manager''s Page'!$B$11,'Manager''s Page'!$B$14,0)</f>
        <v>0</v>
      </c>
      <c r="I80" s="17" cm="1">
        <f t="array" ref="I80">_xlfn.IFS(H80&lt;Constant!$A$3,0,H80&lt;Constant!$A$4,375,H80&lt;Constant!$A$5,275,H80&lt;Constant!$A$6,175)</f>
        <v>0</v>
      </c>
      <c r="J80" s="16">
        <f t="shared" si="11"/>
        <v>349</v>
      </c>
      <c r="K80" s="16">
        <f t="shared" si="12"/>
        <v>2291</v>
      </c>
      <c r="L80" s="14">
        <f t="shared" si="13"/>
        <v>349</v>
      </c>
      <c r="M80" s="44">
        <f t="shared" si="14"/>
        <v>2291</v>
      </c>
    </row>
    <row r="81" spans="1:13" x14ac:dyDescent="0.25">
      <c r="A81" s="14">
        <f>'Manager''s Page'!H81</f>
        <v>79</v>
      </c>
      <c r="B81" s="15">
        <f t="shared" si="15"/>
        <v>2291</v>
      </c>
      <c r="C81" s="16">
        <f>'Manager''s Page'!I81</f>
        <v>856</v>
      </c>
      <c r="D81" s="16">
        <f t="shared" si="8"/>
        <v>856</v>
      </c>
      <c r="E81" s="16">
        <f t="shared" si="9"/>
        <v>0</v>
      </c>
      <c r="F81" s="16">
        <f t="shared" si="10"/>
        <v>1435</v>
      </c>
      <c r="G81" s="17">
        <f>F81*(Constant!$B$11/365)</f>
        <v>105.36438356164385</v>
      </c>
      <c r="H81" s="16">
        <f>IF(F81&lt;'Manager''s Page'!$B$11,'Manager''s Page'!$B$14,0)</f>
        <v>0</v>
      </c>
      <c r="I81" s="17" cm="1">
        <f t="array" ref="I81">_xlfn.IFS(H81&lt;Constant!$A$3,0,H81&lt;Constant!$A$4,375,H81&lt;Constant!$A$5,275,H81&lt;Constant!$A$6,175)</f>
        <v>0</v>
      </c>
      <c r="J81" s="16">
        <f t="shared" si="11"/>
        <v>856</v>
      </c>
      <c r="K81" s="16">
        <f t="shared" si="12"/>
        <v>1435</v>
      </c>
      <c r="L81" s="14">
        <f t="shared" si="13"/>
        <v>856</v>
      </c>
      <c r="M81" s="44">
        <f t="shared" si="14"/>
        <v>1435</v>
      </c>
    </row>
    <row r="82" spans="1:13" x14ac:dyDescent="0.25">
      <c r="A82" s="14">
        <f>'Manager''s Page'!H82</f>
        <v>80</v>
      </c>
      <c r="B82" s="15">
        <f t="shared" si="15"/>
        <v>1435</v>
      </c>
      <c r="C82" s="16">
        <f>'Manager''s Page'!I82</f>
        <v>233</v>
      </c>
      <c r="D82" s="16">
        <f t="shared" si="8"/>
        <v>233</v>
      </c>
      <c r="E82" s="16">
        <f t="shared" si="9"/>
        <v>0</v>
      </c>
      <c r="F82" s="16">
        <f t="shared" si="10"/>
        <v>1202</v>
      </c>
      <c r="G82" s="17">
        <f>F82*(Constant!$B$11/365)</f>
        <v>88.256438356164395</v>
      </c>
      <c r="H82" s="16">
        <f>IF(F82&lt;'Manager''s Page'!$B$11,'Manager''s Page'!$B$14,0)</f>
        <v>0</v>
      </c>
      <c r="I82" s="17" cm="1">
        <f t="array" ref="I82">_xlfn.IFS(H82&lt;Constant!$A$3,0,H82&lt;Constant!$A$4,375,H82&lt;Constant!$A$5,275,H82&lt;Constant!$A$6,175)</f>
        <v>0</v>
      </c>
      <c r="J82" s="16">
        <f t="shared" si="11"/>
        <v>233</v>
      </c>
      <c r="K82" s="16">
        <f t="shared" si="12"/>
        <v>1202</v>
      </c>
      <c r="L82" s="14">
        <f t="shared" si="13"/>
        <v>233</v>
      </c>
      <c r="M82" s="44">
        <f t="shared" si="14"/>
        <v>1202</v>
      </c>
    </row>
    <row r="83" spans="1:13" x14ac:dyDescent="0.25">
      <c r="A83" s="14">
        <f>'Manager''s Page'!H83</f>
        <v>81</v>
      </c>
      <c r="B83" s="15">
        <f t="shared" si="15"/>
        <v>1202</v>
      </c>
      <c r="C83" s="16">
        <f>'Manager''s Page'!I83</f>
        <v>180</v>
      </c>
      <c r="D83" s="16">
        <f t="shared" si="8"/>
        <v>180</v>
      </c>
      <c r="E83" s="16">
        <f t="shared" si="9"/>
        <v>0</v>
      </c>
      <c r="F83" s="16">
        <f t="shared" si="10"/>
        <v>1022</v>
      </c>
      <c r="G83" s="17">
        <f>F83*(Constant!$B$11/365)</f>
        <v>75.040000000000006</v>
      </c>
      <c r="H83" s="16">
        <f>IF(F83&lt;'Manager''s Page'!$B$11,'Manager''s Page'!$B$14,0)</f>
        <v>0</v>
      </c>
      <c r="I83" s="17" cm="1">
        <f t="array" ref="I83">_xlfn.IFS(H83&lt;Constant!$A$3,0,H83&lt;Constant!$A$4,375,H83&lt;Constant!$A$5,275,H83&lt;Constant!$A$6,175)</f>
        <v>0</v>
      </c>
      <c r="J83" s="16">
        <f t="shared" si="11"/>
        <v>180</v>
      </c>
      <c r="K83" s="16">
        <f t="shared" si="12"/>
        <v>1022</v>
      </c>
      <c r="L83" s="14">
        <f t="shared" si="13"/>
        <v>180</v>
      </c>
      <c r="M83" s="44">
        <f t="shared" si="14"/>
        <v>1022</v>
      </c>
    </row>
    <row r="84" spans="1:13" x14ac:dyDescent="0.25">
      <c r="A84" s="14">
        <f>'Manager''s Page'!H84</f>
        <v>82</v>
      </c>
      <c r="B84" s="15">
        <f t="shared" si="15"/>
        <v>1022</v>
      </c>
      <c r="C84" s="16">
        <f>'Manager''s Page'!I84</f>
        <v>825</v>
      </c>
      <c r="D84" s="16">
        <f t="shared" si="8"/>
        <v>825</v>
      </c>
      <c r="E84" s="16">
        <f t="shared" si="9"/>
        <v>0</v>
      </c>
      <c r="F84" s="16">
        <f t="shared" si="10"/>
        <v>197</v>
      </c>
      <c r="G84" s="17">
        <f>F84*(Constant!$B$11/365)</f>
        <v>14.464657534246577</v>
      </c>
      <c r="H84" s="16">
        <f>IF(F84&lt;'Manager''s Page'!$B$11,'Manager''s Page'!$B$14,0)</f>
        <v>5000</v>
      </c>
      <c r="I84" s="17" cm="1">
        <f t="array" ref="I84">_xlfn.IFS(H84&lt;Constant!$A$3,0,H84&lt;Constant!$A$4,375,H84&lt;Constant!$A$5,275,H84&lt;Constant!$A$6,175)</f>
        <v>275</v>
      </c>
      <c r="J84" s="16">
        <f t="shared" si="11"/>
        <v>825</v>
      </c>
      <c r="K84" s="16">
        <f t="shared" si="12"/>
        <v>197</v>
      </c>
      <c r="L84" s="14">
        <f t="shared" si="13"/>
        <v>825</v>
      </c>
      <c r="M84" s="44">
        <f t="shared" si="14"/>
        <v>197</v>
      </c>
    </row>
    <row r="85" spans="1:13" x14ac:dyDescent="0.25">
      <c r="A85" s="14">
        <f>'Manager''s Page'!H85</f>
        <v>83</v>
      </c>
      <c r="B85" s="15">
        <f t="shared" si="15"/>
        <v>5197</v>
      </c>
      <c r="C85" s="16">
        <f>'Manager''s Page'!I85</f>
        <v>823</v>
      </c>
      <c r="D85" s="16">
        <f t="shared" si="8"/>
        <v>823</v>
      </c>
      <c r="E85" s="16">
        <f t="shared" si="9"/>
        <v>0</v>
      </c>
      <c r="F85" s="16">
        <f t="shared" si="10"/>
        <v>4374</v>
      </c>
      <c r="G85" s="17">
        <f>F85*(Constant!$B$11/365)</f>
        <v>321.15945205479454</v>
      </c>
      <c r="H85" s="16">
        <f>IF(F85&lt;'Manager''s Page'!$B$11,'Manager''s Page'!$B$14,0)</f>
        <v>0</v>
      </c>
      <c r="I85" s="17" cm="1">
        <f t="array" ref="I85">_xlfn.IFS(H85&lt;Constant!$A$3,0,H85&lt;Constant!$A$4,375,H85&lt;Constant!$A$5,275,H85&lt;Constant!$A$6,175)</f>
        <v>0</v>
      </c>
      <c r="J85" s="16">
        <f t="shared" si="11"/>
        <v>823</v>
      </c>
      <c r="K85" s="16">
        <f t="shared" si="12"/>
        <v>4374</v>
      </c>
      <c r="L85" s="14">
        <f t="shared" si="13"/>
        <v>823</v>
      </c>
      <c r="M85" s="44">
        <f t="shared" si="14"/>
        <v>4374</v>
      </c>
    </row>
    <row r="86" spans="1:13" x14ac:dyDescent="0.25">
      <c r="A86" s="14">
        <f>'Manager''s Page'!H86</f>
        <v>84</v>
      </c>
      <c r="B86" s="15">
        <f t="shared" si="15"/>
        <v>4374</v>
      </c>
      <c r="C86" s="16">
        <f>'Manager''s Page'!I86</f>
        <v>337</v>
      </c>
      <c r="D86" s="16">
        <f t="shared" si="8"/>
        <v>337</v>
      </c>
      <c r="E86" s="16">
        <f t="shared" si="9"/>
        <v>0</v>
      </c>
      <c r="F86" s="16">
        <f t="shared" si="10"/>
        <v>4037</v>
      </c>
      <c r="G86" s="17">
        <f>F86*(Constant!$B$11/365)</f>
        <v>296.41534246575344</v>
      </c>
      <c r="H86" s="16">
        <f>IF(F86&lt;'Manager''s Page'!$B$11,'Manager''s Page'!$B$14,0)</f>
        <v>0</v>
      </c>
      <c r="I86" s="17" cm="1">
        <f t="array" ref="I86">_xlfn.IFS(H86&lt;Constant!$A$3,0,H86&lt;Constant!$A$4,375,H86&lt;Constant!$A$5,275,H86&lt;Constant!$A$6,175)</f>
        <v>0</v>
      </c>
      <c r="J86" s="16">
        <f t="shared" si="11"/>
        <v>337</v>
      </c>
      <c r="K86" s="16">
        <f t="shared" si="12"/>
        <v>4037</v>
      </c>
      <c r="L86" s="14">
        <f t="shared" si="13"/>
        <v>337</v>
      </c>
      <c r="M86" s="44">
        <f t="shared" si="14"/>
        <v>4037</v>
      </c>
    </row>
    <row r="87" spans="1:13" x14ac:dyDescent="0.25">
      <c r="A87" s="14">
        <f>'Manager''s Page'!H87</f>
        <v>85</v>
      </c>
      <c r="B87" s="15">
        <f t="shared" si="15"/>
        <v>4037</v>
      </c>
      <c r="C87" s="16">
        <f>'Manager''s Page'!I87</f>
        <v>468</v>
      </c>
      <c r="D87" s="16">
        <f t="shared" si="8"/>
        <v>468</v>
      </c>
      <c r="E87" s="16">
        <f t="shared" si="9"/>
        <v>0</v>
      </c>
      <c r="F87" s="16">
        <f t="shared" si="10"/>
        <v>3569</v>
      </c>
      <c r="G87" s="17">
        <f>F87*(Constant!$B$11/365)</f>
        <v>262.05260273972607</v>
      </c>
      <c r="H87" s="16">
        <f>IF(F87&lt;'Manager''s Page'!$B$11,'Manager''s Page'!$B$14,0)</f>
        <v>0</v>
      </c>
      <c r="I87" s="17" cm="1">
        <f t="array" ref="I87">_xlfn.IFS(H87&lt;Constant!$A$3,0,H87&lt;Constant!$A$4,375,H87&lt;Constant!$A$5,275,H87&lt;Constant!$A$6,175)</f>
        <v>0</v>
      </c>
      <c r="J87" s="16">
        <f t="shared" si="11"/>
        <v>468</v>
      </c>
      <c r="K87" s="16">
        <f t="shared" si="12"/>
        <v>3569</v>
      </c>
      <c r="L87" s="14">
        <f t="shared" si="13"/>
        <v>468</v>
      </c>
      <c r="M87" s="44">
        <f t="shared" si="14"/>
        <v>3569</v>
      </c>
    </row>
    <row r="88" spans="1:13" x14ac:dyDescent="0.25">
      <c r="A88" s="14">
        <f>'Manager''s Page'!H88</f>
        <v>86</v>
      </c>
      <c r="B88" s="15">
        <f t="shared" si="15"/>
        <v>3569</v>
      </c>
      <c r="C88" s="16">
        <f>'Manager''s Page'!I88</f>
        <v>215</v>
      </c>
      <c r="D88" s="16">
        <f t="shared" si="8"/>
        <v>215</v>
      </c>
      <c r="E88" s="16">
        <f t="shared" si="9"/>
        <v>0</v>
      </c>
      <c r="F88" s="16">
        <f t="shared" si="10"/>
        <v>3354</v>
      </c>
      <c r="G88" s="17">
        <f>F88*(Constant!$B$11/365)</f>
        <v>246.26630136986304</v>
      </c>
      <c r="H88" s="16">
        <f>IF(F88&lt;'Manager''s Page'!$B$11,'Manager''s Page'!$B$14,0)</f>
        <v>0</v>
      </c>
      <c r="I88" s="17" cm="1">
        <f t="array" ref="I88">_xlfn.IFS(H88&lt;Constant!$A$3,0,H88&lt;Constant!$A$4,375,H88&lt;Constant!$A$5,275,H88&lt;Constant!$A$6,175)</f>
        <v>0</v>
      </c>
      <c r="J88" s="16">
        <f t="shared" si="11"/>
        <v>215</v>
      </c>
      <c r="K88" s="16">
        <f t="shared" si="12"/>
        <v>3354</v>
      </c>
      <c r="L88" s="14">
        <f t="shared" si="13"/>
        <v>215</v>
      </c>
      <c r="M88" s="44">
        <f t="shared" si="14"/>
        <v>3354</v>
      </c>
    </row>
    <row r="89" spans="1:13" x14ac:dyDescent="0.25">
      <c r="A89" s="14">
        <f>'Manager''s Page'!H89</f>
        <v>87</v>
      </c>
      <c r="B89" s="15">
        <f t="shared" si="15"/>
        <v>3354</v>
      </c>
      <c r="C89" s="16">
        <f>'Manager''s Page'!I89</f>
        <v>191</v>
      </c>
      <c r="D89" s="16">
        <f t="shared" si="8"/>
        <v>191</v>
      </c>
      <c r="E89" s="16">
        <f t="shared" si="9"/>
        <v>0</v>
      </c>
      <c r="F89" s="16">
        <f t="shared" si="10"/>
        <v>3163</v>
      </c>
      <c r="G89" s="17">
        <f>F89*(Constant!$B$11/365)</f>
        <v>232.24219178082194</v>
      </c>
      <c r="H89" s="16">
        <f>IF(F89&lt;'Manager''s Page'!$B$11,'Manager''s Page'!$B$14,0)</f>
        <v>0</v>
      </c>
      <c r="I89" s="17" cm="1">
        <f t="array" ref="I89">_xlfn.IFS(H89&lt;Constant!$A$3,0,H89&lt;Constant!$A$4,375,H89&lt;Constant!$A$5,275,H89&lt;Constant!$A$6,175)</f>
        <v>0</v>
      </c>
      <c r="J89" s="16">
        <f t="shared" si="11"/>
        <v>191</v>
      </c>
      <c r="K89" s="16">
        <f t="shared" si="12"/>
        <v>3163</v>
      </c>
      <c r="L89" s="14">
        <f t="shared" si="13"/>
        <v>191</v>
      </c>
      <c r="M89" s="44">
        <f t="shared" si="14"/>
        <v>3163</v>
      </c>
    </row>
    <row r="90" spans="1:13" x14ac:dyDescent="0.25">
      <c r="A90" s="14">
        <f>'Manager''s Page'!H90</f>
        <v>88</v>
      </c>
      <c r="B90" s="15">
        <f t="shared" si="15"/>
        <v>3163</v>
      </c>
      <c r="C90" s="16">
        <f>'Manager''s Page'!I90</f>
        <v>777</v>
      </c>
      <c r="D90" s="16">
        <f t="shared" si="8"/>
        <v>777</v>
      </c>
      <c r="E90" s="16">
        <f t="shared" si="9"/>
        <v>0</v>
      </c>
      <c r="F90" s="16">
        <f t="shared" si="10"/>
        <v>2386</v>
      </c>
      <c r="G90" s="17">
        <f>F90*(Constant!$B$11/365)</f>
        <v>175.19123287671235</v>
      </c>
      <c r="H90" s="16">
        <f>IF(F90&lt;'Manager''s Page'!$B$11,'Manager''s Page'!$B$14,0)</f>
        <v>0</v>
      </c>
      <c r="I90" s="17" cm="1">
        <f t="array" ref="I90">_xlfn.IFS(H90&lt;Constant!$A$3,0,H90&lt;Constant!$A$4,375,H90&lt;Constant!$A$5,275,H90&lt;Constant!$A$6,175)</f>
        <v>0</v>
      </c>
      <c r="J90" s="16">
        <f t="shared" si="11"/>
        <v>777</v>
      </c>
      <c r="K90" s="16">
        <f t="shared" si="12"/>
        <v>2386</v>
      </c>
      <c r="L90" s="14">
        <f t="shared" si="13"/>
        <v>777</v>
      </c>
      <c r="M90" s="44">
        <f t="shared" si="14"/>
        <v>2386</v>
      </c>
    </row>
    <row r="91" spans="1:13" x14ac:dyDescent="0.25">
      <c r="A91" s="14">
        <f>'Manager''s Page'!H91</f>
        <v>89</v>
      </c>
      <c r="B91" s="15">
        <f t="shared" si="15"/>
        <v>2386</v>
      </c>
      <c r="C91" s="16">
        <f>'Manager''s Page'!I91</f>
        <v>198</v>
      </c>
      <c r="D91" s="16">
        <f t="shared" si="8"/>
        <v>198</v>
      </c>
      <c r="E91" s="16">
        <f t="shared" si="9"/>
        <v>0</v>
      </c>
      <c r="F91" s="16">
        <f t="shared" si="10"/>
        <v>2188</v>
      </c>
      <c r="G91" s="17">
        <f>F91*(Constant!$B$11/365)</f>
        <v>160.65315068493152</v>
      </c>
      <c r="H91" s="16">
        <f>IF(F91&lt;'Manager''s Page'!$B$11,'Manager''s Page'!$B$14,0)</f>
        <v>0</v>
      </c>
      <c r="I91" s="17" cm="1">
        <f t="array" ref="I91">_xlfn.IFS(H91&lt;Constant!$A$3,0,H91&lt;Constant!$A$4,375,H91&lt;Constant!$A$5,275,H91&lt;Constant!$A$6,175)</f>
        <v>0</v>
      </c>
      <c r="J91" s="16">
        <f t="shared" si="11"/>
        <v>198</v>
      </c>
      <c r="K91" s="16">
        <f t="shared" si="12"/>
        <v>2188</v>
      </c>
      <c r="L91" s="14">
        <f t="shared" si="13"/>
        <v>198</v>
      </c>
      <c r="M91" s="44">
        <f t="shared" si="14"/>
        <v>2188</v>
      </c>
    </row>
    <row r="92" spans="1:13" x14ac:dyDescent="0.25">
      <c r="A92" s="14">
        <f>'Manager''s Page'!H92</f>
        <v>90</v>
      </c>
      <c r="B92" s="15">
        <f t="shared" si="15"/>
        <v>2188</v>
      </c>
      <c r="C92" s="16">
        <f>'Manager''s Page'!I92</f>
        <v>359</v>
      </c>
      <c r="D92" s="16">
        <f t="shared" si="8"/>
        <v>359</v>
      </c>
      <c r="E92" s="16">
        <f t="shared" si="9"/>
        <v>0</v>
      </c>
      <c r="F92" s="16">
        <f t="shared" si="10"/>
        <v>1829</v>
      </c>
      <c r="G92" s="17">
        <f>F92*(Constant!$B$11/365)</f>
        <v>134.29369863013699</v>
      </c>
      <c r="H92" s="16">
        <f>IF(F92&lt;'Manager''s Page'!$B$11,'Manager''s Page'!$B$14,0)</f>
        <v>0</v>
      </c>
      <c r="I92" s="17" cm="1">
        <f t="array" ref="I92">_xlfn.IFS(H92&lt;Constant!$A$3,0,H92&lt;Constant!$A$4,375,H92&lt;Constant!$A$5,275,H92&lt;Constant!$A$6,175)</f>
        <v>0</v>
      </c>
      <c r="J92" s="16">
        <f t="shared" si="11"/>
        <v>359</v>
      </c>
      <c r="K92" s="16">
        <f t="shared" si="12"/>
        <v>1829</v>
      </c>
      <c r="L92" s="14">
        <f t="shared" si="13"/>
        <v>359</v>
      </c>
      <c r="M92" s="44">
        <f t="shared" si="14"/>
        <v>1829</v>
      </c>
    </row>
    <row r="93" spans="1:13" x14ac:dyDescent="0.25">
      <c r="A93" s="14">
        <f>'Manager''s Page'!H93</f>
        <v>91</v>
      </c>
      <c r="B93" s="15">
        <f t="shared" si="15"/>
        <v>1829</v>
      </c>
      <c r="C93" s="16">
        <f>'Manager''s Page'!I93</f>
        <v>486</v>
      </c>
      <c r="D93" s="16">
        <f t="shared" si="8"/>
        <v>486</v>
      </c>
      <c r="E93" s="16">
        <f t="shared" si="9"/>
        <v>0</v>
      </c>
      <c r="F93" s="16">
        <f t="shared" si="10"/>
        <v>1343</v>
      </c>
      <c r="G93" s="17">
        <f>F93*(Constant!$B$11/365)</f>
        <v>98.60931506849316</v>
      </c>
      <c r="H93" s="16">
        <f>IF(F93&lt;'Manager''s Page'!$B$11,'Manager''s Page'!$B$14,0)</f>
        <v>0</v>
      </c>
      <c r="I93" s="17" cm="1">
        <f t="array" ref="I93">_xlfn.IFS(H93&lt;Constant!$A$3,0,H93&lt;Constant!$A$4,375,H93&lt;Constant!$A$5,275,H93&lt;Constant!$A$6,175)</f>
        <v>0</v>
      </c>
      <c r="J93" s="16">
        <f t="shared" si="11"/>
        <v>486</v>
      </c>
      <c r="K93" s="16">
        <f t="shared" si="12"/>
        <v>1343</v>
      </c>
      <c r="L93" s="14">
        <f t="shared" si="13"/>
        <v>486</v>
      </c>
      <c r="M93" s="44">
        <f t="shared" si="14"/>
        <v>1343</v>
      </c>
    </row>
    <row r="94" spans="1:13" x14ac:dyDescent="0.25">
      <c r="A94" s="14">
        <f>'Manager''s Page'!H94</f>
        <v>92</v>
      </c>
      <c r="B94" s="15">
        <f t="shared" si="15"/>
        <v>1343</v>
      </c>
      <c r="C94" s="16">
        <f>'Manager''s Page'!I94</f>
        <v>602</v>
      </c>
      <c r="D94" s="16">
        <f t="shared" si="8"/>
        <v>602</v>
      </c>
      <c r="E94" s="16">
        <f t="shared" si="9"/>
        <v>0</v>
      </c>
      <c r="F94" s="16">
        <f t="shared" si="10"/>
        <v>741</v>
      </c>
      <c r="G94" s="17">
        <f>F94*(Constant!$B$11/365)</f>
        <v>54.407671232876716</v>
      </c>
      <c r="H94" s="16">
        <f>IF(F94&lt;'Manager''s Page'!$B$11,'Manager''s Page'!$B$14,0)</f>
        <v>0</v>
      </c>
      <c r="I94" s="17" cm="1">
        <f t="array" ref="I94">_xlfn.IFS(H94&lt;Constant!$A$3,0,H94&lt;Constant!$A$4,375,H94&lt;Constant!$A$5,275,H94&lt;Constant!$A$6,175)</f>
        <v>0</v>
      </c>
      <c r="J94" s="16">
        <f t="shared" si="11"/>
        <v>602</v>
      </c>
      <c r="K94" s="16">
        <f t="shared" si="12"/>
        <v>741</v>
      </c>
      <c r="L94" s="14">
        <f t="shared" si="13"/>
        <v>602</v>
      </c>
      <c r="M94" s="44">
        <f t="shared" si="14"/>
        <v>741</v>
      </c>
    </row>
    <row r="95" spans="1:13" x14ac:dyDescent="0.25">
      <c r="A95" s="14">
        <f>'Manager''s Page'!H95</f>
        <v>93</v>
      </c>
      <c r="B95" s="15">
        <f t="shared" si="15"/>
        <v>741</v>
      </c>
      <c r="C95" s="16">
        <f>'Manager''s Page'!I95</f>
        <v>705</v>
      </c>
      <c r="D95" s="16">
        <f t="shared" si="8"/>
        <v>705</v>
      </c>
      <c r="E95" s="16">
        <f t="shared" si="9"/>
        <v>0</v>
      </c>
      <c r="F95" s="16">
        <f t="shared" si="10"/>
        <v>36</v>
      </c>
      <c r="G95" s="17">
        <f>F95*(Constant!$B$11/365)</f>
        <v>2.6432876712328768</v>
      </c>
      <c r="H95" s="16">
        <f>IF(F95&lt;'Manager''s Page'!$B$11,'Manager''s Page'!$B$14,0)</f>
        <v>5000</v>
      </c>
      <c r="I95" s="17" cm="1">
        <f t="array" ref="I95">_xlfn.IFS(H95&lt;Constant!$A$3,0,H95&lt;Constant!$A$4,375,H95&lt;Constant!$A$5,275,H95&lt;Constant!$A$6,175)</f>
        <v>275</v>
      </c>
      <c r="J95" s="16">
        <f t="shared" si="11"/>
        <v>705</v>
      </c>
      <c r="K95" s="16">
        <f t="shared" si="12"/>
        <v>36</v>
      </c>
      <c r="L95" s="14">
        <f t="shared" si="13"/>
        <v>705</v>
      </c>
      <c r="M95" s="44">
        <f t="shared" si="14"/>
        <v>36</v>
      </c>
    </row>
    <row r="96" spans="1:13" x14ac:dyDescent="0.25">
      <c r="A96" s="14">
        <f>'Manager''s Page'!H96</f>
        <v>94</v>
      </c>
      <c r="B96" s="15">
        <f t="shared" si="15"/>
        <v>5036</v>
      </c>
      <c r="C96" s="16">
        <f>'Manager''s Page'!I96</f>
        <v>705</v>
      </c>
      <c r="D96" s="16">
        <f t="shared" si="8"/>
        <v>705</v>
      </c>
      <c r="E96" s="16">
        <f t="shared" si="9"/>
        <v>0</v>
      </c>
      <c r="F96" s="16">
        <f t="shared" si="10"/>
        <v>4331</v>
      </c>
      <c r="G96" s="17">
        <f>F96*(Constant!$B$11/365)</f>
        <v>318.00219178082193</v>
      </c>
      <c r="H96" s="16">
        <f>IF(F96&lt;'Manager''s Page'!$B$11,'Manager''s Page'!$B$14,0)</f>
        <v>0</v>
      </c>
      <c r="I96" s="17" cm="1">
        <f t="array" ref="I96">_xlfn.IFS(H96&lt;Constant!$A$3,0,H96&lt;Constant!$A$4,375,H96&lt;Constant!$A$5,275,H96&lt;Constant!$A$6,175)</f>
        <v>0</v>
      </c>
      <c r="J96" s="16">
        <f t="shared" si="11"/>
        <v>705</v>
      </c>
      <c r="K96" s="16">
        <f t="shared" si="12"/>
        <v>4331</v>
      </c>
      <c r="L96" s="14">
        <f t="shared" si="13"/>
        <v>705</v>
      </c>
      <c r="M96" s="44">
        <f t="shared" si="14"/>
        <v>4331</v>
      </c>
    </row>
    <row r="97" spans="1:13" x14ac:dyDescent="0.25">
      <c r="A97" s="14">
        <f>'Manager''s Page'!H97</f>
        <v>95</v>
      </c>
      <c r="B97" s="15">
        <f t="shared" si="15"/>
        <v>4331</v>
      </c>
      <c r="C97" s="16">
        <f>'Manager''s Page'!I97</f>
        <v>784</v>
      </c>
      <c r="D97" s="16">
        <f t="shared" si="8"/>
        <v>784</v>
      </c>
      <c r="E97" s="16">
        <f t="shared" si="9"/>
        <v>0</v>
      </c>
      <c r="F97" s="16">
        <f t="shared" si="10"/>
        <v>3547</v>
      </c>
      <c r="G97" s="17">
        <f>F97*(Constant!$B$11/365)</f>
        <v>260.43726027397264</v>
      </c>
      <c r="H97" s="16">
        <f>IF(F97&lt;'Manager''s Page'!$B$11,'Manager''s Page'!$B$14,0)</f>
        <v>0</v>
      </c>
      <c r="I97" s="17" cm="1">
        <f t="array" ref="I97">_xlfn.IFS(H97&lt;Constant!$A$3,0,H97&lt;Constant!$A$4,375,H97&lt;Constant!$A$5,275,H97&lt;Constant!$A$6,175)</f>
        <v>0</v>
      </c>
      <c r="J97" s="16">
        <f t="shared" si="11"/>
        <v>784</v>
      </c>
      <c r="K97" s="16">
        <f t="shared" si="12"/>
        <v>3547</v>
      </c>
      <c r="L97" s="14">
        <f t="shared" si="13"/>
        <v>784</v>
      </c>
      <c r="M97" s="44">
        <f t="shared" si="14"/>
        <v>3547</v>
      </c>
    </row>
    <row r="98" spans="1:13" x14ac:dyDescent="0.25">
      <c r="A98" s="14">
        <f>'Manager''s Page'!H98</f>
        <v>96</v>
      </c>
      <c r="B98" s="15">
        <f t="shared" si="15"/>
        <v>3547</v>
      </c>
      <c r="C98" s="16">
        <f>'Manager''s Page'!I98</f>
        <v>613</v>
      </c>
      <c r="D98" s="16">
        <f t="shared" si="8"/>
        <v>613</v>
      </c>
      <c r="E98" s="16">
        <f t="shared" si="9"/>
        <v>0</v>
      </c>
      <c r="F98" s="16">
        <f t="shared" si="10"/>
        <v>2934</v>
      </c>
      <c r="G98" s="17">
        <f>F98*(Constant!$B$11/365)</f>
        <v>215.42794520547946</v>
      </c>
      <c r="H98" s="16">
        <f>IF(F98&lt;'Manager''s Page'!$B$11,'Manager''s Page'!$B$14,0)</f>
        <v>0</v>
      </c>
      <c r="I98" s="17" cm="1">
        <f t="array" ref="I98">_xlfn.IFS(H98&lt;Constant!$A$3,0,H98&lt;Constant!$A$4,375,H98&lt;Constant!$A$5,275,H98&lt;Constant!$A$6,175)</f>
        <v>0</v>
      </c>
      <c r="J98" s="16">
        <f t="shared" si="11"/>
        <v>613</v>
      </c>
      <c r="K98" s="16">
        <f t="shared" si="12"/>
        <v>2934</v>
      </c>
      <c r="L98" s="14">
        <f t="shared" si="13"/>
        <v>613</v>
      </c>
      <c r="M98" s="44">
        <f t="shared" si="14"/>
        <v>2934</v>
      </c>
    </row>
    <row r="99" spans="1:13" x14ac:dyDescent="0.25">
      <c r="A99" s="14">
        <f>'Manager''s Page'!H99</f>
        <v>97</v>
      </c>
      <c r="B99" s="15">
        <f t="shared" si="15"/>
        <v>2934</v>
      </c>
      <c r="C99" s="16">
        <f>'Manager''s Page'!I99</f>
        <v>390</v>
      </c>
      <c r="D99" s="16">
        <f t="shared" si="8"/>
        <v>390</v>
      </c>
      <c r="E99" s="16">
        <f t="shared" si="9"/>
        <v>0</v>
      </c>
      <c r="F99" s="16">
        <f t="shared" si="10"/>
        <v>2544</v>
      </c>
      <c r="G99" s="17">
        <f>F99*(Constant!$B$11/365)</f>
        <v>186.79232876712331</v>
      </c>
      <c r="H99" s="16">
        <f>IF(F99&lt;'Manager''s Page'!$B$11,'Manager''s Page'!$B$14,0)</f>
        <v>0</v>
      </c>
      <c r="I99" s="17" cm="1">
        <f t="array" ref="I99">_xlfn.IFS(H99&lt;Constant!$A$3,0,H99&lt;Constant!$A$4,375,H99&lt;Constant!$A$5,275,H99&lt;Constant!$A$6,175)</f>
        <v>0</v>
      </c>
      <c r="J99" s="16">
        <f t="shared" si="11"/>
        <v>390</v>
      </c>
      <c r="K99" s="16">
        <f t="shared" si="12"/>
        <v>2544</v>
      </c>
      <c r="L99" s="14">
        <f t="shared" si="13"/>
        <v>390</v>
      </c>
      <c r="M99" s="44">
        <f t="shared" si="14"/>
        <v>2544</v>
      </c>
    </row>
    <row r="100" spans="1:13" x14ac:dyDescent="0.25">
      <c r="A100" s="14">
        <f>'Manager''s Page'!H100</f>
        <v>98</v>
      </c>
      <c r="B100" s="15">
        <f t="shared" si="15"/>
        <v>2544</v>
      </c>
      <c r="C100" s="16">
        <f>'Manager''s Page'!I100</f>
        <v>301</v>
      </c>
      <c r="D100" s="16">
        <f t="shared" si="8"/>
        <v>301</v>
      </c>
      <c r="E100" s="16">
        <f t="shared" si="9"/>
        <v>0</v>
      </c>
      <c r="F100" s="16">
        <f t="shared" si="10"/>
        <v>2243</v>
      </c>
      <c r="G100" s="17">
        <f>F100*(Constant!$B$11/365)</f>
        <v>164.69150684931509</v>
      </c>
      <c r="H100" s="16">
        <f>IF(F100&lt;'Manager''s Page'!$B$11,'Manager''s Page'!$B$14,0)</f>
        <v>0</v>
      </c>
      <c r="I100" s="17" cm="1">
        <f t="array" ref="I100">_xlfn.IFS(H100&lt;Constant!$A$3,0,H100&lt;Constant!$A$4,375,H100&lt;Constant!$A$5,275,H100&lt;Constant!$A$6,175)</f>
        <v>0</v>
      </c>
      <c r="J100" s="16">
        <f t="shared" si="11"/>
        <v>301</v>
      </c>
      <c r="K100" s="16">
        <f t="shared" si="12"/>
        <v>2243</v>
      </c>
      <c r="L100" s="14">
        <f t="shared" si="13"/>
        <v>301</v>
      </c>
      <c r="M100" s="44">
        <f t="shared" si="14"/>
        <v>2243</v>
      </c>
    </row>
    <row r="101" spans="1:13" x14ac:dyDescent="0.25">
      <c r="A101" s="14">
        <f>'Manager''s Page'!H101</f>
        <v>99</v>
      </c>
      <c r="B101" s="15">
        <f t="shared" si="15"/>
        <v>2243</v>
      </c>
      <c r="C101" s="16">
        <f>'Manager''s Page'!I101</f>
        <v>302</v>
      </c>
      <c r="D101" s="16">
        <f t="shared" si="8"/>
        <v>302</v>
      </c>
      <c r="E101" s="16">
        <f t="shared" si="9"/>
        <v>0</v>
      </c>
      <c r="F101" s="16">
        <f t="shared" si="10"/>
        <v>1941</v>
      </c>
      <c r="G101" s="17">
        <f>F101*(Constant!$B$11/365)</f>
        <v>142.51726027397262</v>
      </c>
      <c r="H101" s="16">
        <f>IF(F101&lt;'Manager''s Page'!$B$11,'Manager''s Page'!$B$14,0)</f>
        <v>0</v>
      </c>
      <c r="I101" s="17" cm="1">
        <f t="array" ref="I101">_xlfn.IFS(H101&lt;Constant!$A$3,0,H101&lt;Constant!$A$4,375,H101&lt;Constant!$A$5,275,H101&lt;Constant!$A$6,175)</f>
        <v>0</v>
      </c>
      <c r="J101" s="16">
        <f t="shared" si="11"/>
        <v>302</v>
      </c>
      <c r="K101" s="16">
        <f t="shared" si="12"/>
        <v>1941</v>
      </c>
      <c r="L101" s="14">
        <f t="shared" si="13"/>
        <v>302</v>
      </c>
      <c r="M101" s="44">
        <f t="shared" si="14"/>
        <v>1941</v>
      </c>
    </row>
    <row r="102" spans="1:13" x14ac:dyDescent="0.25">
      <c r="A102" s="14">
        <f>'Manager''s Page'!H102</f>
        <v>100</v>
      </c>
      <c r="B102" s="15">
        <f t="shared" si="15"/>
        <v>1941</v>
      </c>
      <c r="C102" s="16">
        <f>'Manager''s Page'!I102</f>
        <v>516</v>
      </c>
      <c r="D102" s="16">
        <f t="shared" si="8"/>
        <v>516</v>
      </c>
      <c r="E102" s="16">
        <f t="shared" si="9"/>
        <v>0</v>
      </c>
      <c r="F102" s="16">
        <f t="shared" si="10"/>
        <v>1425</v>
      </c>
      <c r="G102" s="17">
        <f>F102*(Constant!$B$11/365)</f>
        <v>104.63013698630138</v>
      </c>
      <c r="H102" s="16">
        <f>IF(F102&lt;'Manager''s Page'!$B$11,'Manager''s Page'!$B$14,0)</f>
        <v>0</v>
      </c>
      <c r="I102" s="17" cm="1">
        <f t="array" ref="I102">_xlfn.IFS(H102&lt;Constant!$A$3,0,H102&lt;Constant!$A$4,375,H102&lt;Constant!$A$5,275,H102&lt;Constant!$A$6,175)</f>
        <v>0</v>
      </c>
      <c r="J102" s="16">
        <f t="shared" si="11"/>
        <v>516</v>
      </c>
      <c r="K102" s="16">
        <f t="shared" si="12"/>
        <v>1425</v>
      </c>
      <c r="L102" s="14">
        <f t="shared" si="13"/>
        <v>516</v>
      </c>
      <c r="M102" s="44">
        <f t="shared" si="14"/>
        <v>1425</v>
      </c>
    </row>
    <row r="103" spans="1:13" x14ac:dyDescent="0.25">
      <c r="A103" s="14">
        <f>'Manager''s Page'!H103</f>
        <v>101</v>
      </c>
      <c r="B103" s="15">
        <f t="shared" si="15"/>
        <v>1425</v>
      </c>
      <c r="C103" s="16">
        <f>'Manager''s Page'!I103</f>
        <v>750</v>
      </c>
      <c r="D103" s="16">
        <f t="shared" si="8"/>
        <v>750</v>
      </c>
      <c r="E103" s="16">
        <f t="shared" si="9"/>
        <v>0</v>
      </c>
      <c r="F103" s="16">
        <f t="shared" si="10"/>
        <v>675</v>
      </c>
      <c r="G103" s="17">
        <f>F103*(Constant!$B$11/365)</f>
        <v>49.561643835616444</v>
      </c>
      <c r="H103" s="16">
        <f>IF(F103&lt;'Manager''s Page'!$B$11,'Manager''s Page'!$B$14,0)</f>
        <v>0</v>
      </c>
      <c r="I103" s="17" cm="1">
        <f t="array" ref="I103">_xlfn.IFS(H103&lt;Constant!$A$3,0,H103&lt;Constant!$A$4,375,H103&lt;Constant!$A$5,275,H103&lt;Constant!$A$6,175)</f>
        <v>0</v>
      </c>
      <c r="J103" s="16">
        <f t="shared" si="11"/>
        <v>750</v>
      </c>
      <c r="K103" s="16">
        <f t="shared" si="12"/>
        <v>675</v>
      </c>
      <c r="L103" s="14">
        <f t="shared" si="13"/>
        <v>750</v>
      </c>
      <c r="M103" s="44">
        <f t="shared" si="14"/>
        <v>675</v>
      </c>
    </row>
    <row r="104" spans="1:13" x14ac:dyDescent="0.25">
      <c r="A104" s="14">
        <f>'Manager''s Page'!H104</f>
        <v>102</v>
      </c>
      <c r="B104" s="15">
        <f t="shared" si="15"/>
        <v>675</v>
      </c>
      <c r="C104" s="16">
        <f>'Manager''s Page'!I104</f>
        <v>857</v>
      </c>
      <c r="D104" s="16">
        <f t="shared" si="8"/>
        <v>675</v>
      </c>
      <c r="E104" s="16">
        <f t="shared" si="9"/>
        <v>182</v>
      </c>
      <c r="F104" s="16">
        <f t="shared" si="10"/>
        <v>0</v>
      </c>
      <c r="G104" s="17">
        <f>F104*(Constant!$B$11/365)</f>
        <v>0</v>
      </c>
      <c r="H104" s="16">
        <f>IF(F104&lt;'Manager''s Page'!$B$11,'Manager''s Page'!$B$14,0)</f>
        <v>5000</v>
      </c>
      <c r="I104" s="17" cm="1">
        <f t="array" ref="I104">_xlfn.IFS(H104&lt;Constant!$A$3,0,H104&lt;Constant!$A$4,375,H104&lt;Constant!$A$5,275,H104&lt;Constant!$A$6,175)</f>
        <v>275</v>
      </c>
      <c r="J104" s="16">
        <f t="shared" si="11"/>
        <v>857</v>
      </c>
      <c r="K104" s="16">
        <f t="shared" si="12"/>
        <v>0</v>
      </c>
      <c r="L104" s="14">
        <f t="shared" si="13"/>
        <v>857</v>
      </c>
      <c r="M104" s="44">
        <f t="shared" si="14"/>
        <v>0</v>
      </c>
    </row>
    <row r="105" spans="1:13" x14ac:dyDescent="0.25">
      <c r="A105" s="14">
        <f>'Manager''s Page'!H105</f>
        <v>103</v>
      </c>
      <c r="B105" s="15">
        <f t="shared" si="15"/>
        <v>5000</v>
      </c>
      <c r="C105" s="16">
        <f>'Manager''s Page'!I105</f>
        <v>928</v>
      </c>
      <c r="D105" s="16">
        <f t="shared" si="8"/>
        <v>928</v>
      </c>
      <c r="E105" s="16">
        <f t="shared" si="9"/>
        <v>0</v>
      </c>
      <c r="F105" s="16">
        <f t="shared" si="10"/>
        <v>4072</v>
      </c>
      <c r="G105" s="17">
        <f>F105*(Constant!$B$11/365)</f>
        <v>298.98520547945208</v>
      </c>
      <c r="H105" s="16">
        <f>IF(F105&lt;'Manager''s Page'!$B$11,'Manager''s Page'!$B$14,0)</f>
        <v>0</v>
      </c>
      <c r="I105" s="17" cm="1">
        <f t="array" ref="I105">_xlfn.IFS(H105&lt;Constant!$A$3,0,H105&lt;Constant!$A$4,375,H105&lt;Constant!$A$5,275,H105&lt;Constant!$A$6,175)</f>
        <v>0</v>
      </c>
      <c r="J105" s="16">
        <f t="shared" si="11"/>
        <v>928</v>
      </c>
      <c r="K105" s="16">
        <f t="shared" si="12"/>
        <v>4072</v>
      </c>
      <c r="L105" s="14">
        <f t="shared" si="13"/>
        <v>928</v>
      </c>
      <c r="M105" s="44">
        <f t="shared" si="14"/>
        <v>4072</v>
      </c>
    </row>
    <row r="106" spans="1:13" x14ac:dyDescent="0.25">
      <c r="A106" s="14">
        <f>'Manager''s Page'!H106</f>
        <v>104</v>
      </c>
      <c r="B106" s="15">
        <f t="shared" si="15"/>
        <v>4072</v>
      </c>
      <c r="C106" s="16">
        <f>'Manager''s Page'!I106</f>
        <v>940</v>
      </c>
      <c r="D106" s="16">
        <f t="shared" si="8"/>
        <v>940</v>
      </c>
      <c r="E106" s="16">
        <f t="shared" si="9"/>
        <v>0</v>
      </c>
      <c r="F106" s="16">
        <f t="shared" si="10"/>
        <v>3132</v>
      </c>
      <c r="G106" s="17">
        <f>F106*(Constant!$B$11/365)</f>
        <v>229.96602739726029</v>
      </c>
      <c r="H106" s="16">
        <f>IF(F106&lt;'Manager''s Page'!$B$11,'Manager''s Page'!$B$14,0)</f>
        <v>0</v>
      </c>
      <c r="I106" s="17" cm="1">
        <f t="array" ref="I106">_xlfn.IFS(H106&lt;Constant!$A$3,0,H106&lt;Constant!$A$4,375,H106&lt;Constant!$A$5,275,H106&lt;Constant!$A$6,175)</f>
        <v>0</v>
      </c>
      <c r="J106" s="16">
        <f t="shared" si="11"/>
        <v>940</v>
      </c>
      <c r="K106" s="16">
        <f t="shared" si="12"/>
        <v>3132</v>
      </c>
      <c r="L106" s="14">
        <f t="shared" si="13"/>
        <v>940</v>
      </c>
      <c r="M106" s="44">
        <f t="shared" si="14"/>
        <v>3132</v>
      </c>
    </row>
    <row r="107" spans="1:13" x14ac:dyDescent="0.25">
      <c r="A107" s="14">
        <f>'Manager''s Page'!H107</f>
        <v>105</v>
      </c>
      <c r="B107" s="15">
        <f t="shared" si="15"/>
        <v>3132</v>
      </c>
      <c r="C107" s="16">
        <f>'Manager''s Page'!I107</f>
        <v>849</v>
      </c>
      <c r="D107" s="16">
        <f t="shared" si="8"/>
        <v>849</v>
      </c>
      <c r="E107" s="16">
        <f t="shared" si="9"/>
        <v>0</v>
      </c>
      <c r="F107" s="16">
        <f t="shared" si="10"/>
        <v>2283</v>
      </c>
      <c r="G107" s="17">
        <f>F107*(Constant!$B$11/365)</f>
        <v>167.62849315068496</v>
      </c>
      <c r="H107" s="16">
        <f>IF(F107&lt;'Manager''s Page'!$B$11,'Manager''s Page'!$B$14,0)</f>
        <v>0</v>
      </c>
      <c r="I107" s="17" cm="1">
        <f t="array" ref="I107">_xlfn.IFS(H107&lt;Constant!$A$3,0,H107&lt;Constant!$A$4,375,H107&lt;Constant!$A$5,275,H107&lt;Constant!$A$6,175)</f>
        <v>0</v>
      </c>
      <c r="J107" s="16">
        <f t="shared" si="11"/>
        <v>849</v>
      </c>
      <c r="K107" s="16">
        <f t="shared" si="12"/>
        <v>2283</v>
      </c>
      <c r="L107" s="14">
        <f t="shared" si="13"/>
        <v>849</v>
      </c>
      <c r="M107" s="44">
        <f t="shared" si="14"/>
        <v>2283</v>
      </c>
    </row>
    <row r="108" spans="1:13" x14ac:dyDescent="0.25">
      <c r="A108" s="14">
        <f>'Manager''s Page'!H108</f>
        <v>106</v>
      </c>
      <c r="B108" s="15">
        <f t="shared" si="15"/>
        <v>2283</v>
      </c>
      <c r="C108" s="16">
        <f>'Manager''s Page'!I108</f>
        <v>440</v>
      </c>
      <c r="D108" s="16">
        <f t="shared" si="8"/>
        <v>440</v>
      </c>
      <c r="E108" s="16">
        <f t="shared" si="9"/>
        <v>0</v>
      </c>
      <c r="F108" s="16">
        <f t="shared" si="10"/>
        <v>1843</v>
      </c>
      <c r="G108" s="17">
        <f>F108*(Constant!$B$11/365)</f>
        <v>135.32164383561644</v>
      </c>
      <c r="H108" s="16">
        <f>IF(F108&lt;'Manager''s Page'!$B$11,'Manager''s Page'!$B$14,0)</f>
        <v>0</v>
      </c>
      <c r="I108" s="17" cm="1">
        <f t="array" ref="I108">_xlfn.IFS(H108&lt;Constant!$A$3,0,H108&lt;Constant!$A$4,375,H108&lt;Constant!$A$5,275,H108&lt;Constant!$A$6,175)</f>
        <v>0</v>
      </c>
      <c r="J108" s="16">
        <f t="shared" si="11"/>
        <v>440</v>
      </c>
      <c r="K108" s="16">
        <f t="shared" si="12"/>
        <v>1843</v>
      </c>
      <c r="L108" s="14">
        <f t="shared" si="13"/>
        <v>440</v>
      </c>
      <c r="M108" s="44">
        <f t="shared" si="14"/>
        <v>1843</v>
      </c>
    </row>
    <row r="109" spans="1:13" x14ac:dyDescent="0.25">
      <c r="A109" s="14">
        <f>'Manager''s Page'!H109</f>
        <v>107</v>
      </c>
      <c r="B109" s="15">
        <f t="shared" si="15"/>
        <v>1843</v>
      </c>
      <c r="C109" s="16">
        <f>'Manager''s Page'!I109</f>
        <v>339</v>
      </c>
      <c r="D109" s="16">
        <f t="shared" si="8"/>
        <v>339</v>
      </c>
      <c r="E109" s="16">
        <f t="shared" si="9"/>
        <v>0</v>
      </c>
      <c r="F109" s="16">
        <f t="shared" si="10"/>
        <v>1504</v>
      </c>
      <c r="G109" s="17">
        <f>F109*(Constant!$B$11/365)</f>
        <v>110.43068493150686</v>
      </c>
      <c r="H109" s="16">
        <f>IF(F109&lt;'Manager''s Page'!$B$11,'Manager''s Page'!$B$14,0)</f>
        <v>0</v>
      </c>
      <c r="I109" s="17" cm="1">
        <f t="array" ref="I109">_xlfn.IFS(H109&lt;Constant!$A$3,0,H109&lt;Constant!$A$4,375,H109&lt;Constant!$A$5,275,H109&lt;Constant!$A$6,175)</f>
        <v>0</v>
      </c>
      <c r="J109" s="16">
        <f t="shared" si="11"/>
        <v>339</v>
      </c>
      <c r="K109" s="16">
        <f t="shared" si="12"/>
        <v>1504</v>
      </c>
      <c r="L109" s="14">
        <f t="shared" si="13"/>
        <v>339</v>
      </c>
      <c r="M109" s="44">
        <f t="shared" si="14"/>
        <v>1504</v>
      </c>
    </row>
    <row r="110" spans="1:13" x14ac:dyDescent="0.25">
      <c r="A110" s="14">
        <f>'Manager''s Page'!H110</f>
        <v>108</v>
      </c>
      <c r="B110" s="15">
        <f t="shared" si="15"/>
        <v>1504</v>
      </c>
      <c r="C110" s="16">
        <f>'Manager''s Page'!I110</f>
        <v>679</v>
      </c>
      <c r="D110" s="16">
        <f t="shared" si="8"/>
        <v>679</v>
      </c>
      <c r="E110" s="16">
        <f t="shared" si="9"/>
        <v>0</v>
      </c>
      <c r="F110" s="16">
        <f t="shared" si="10"/>
        <v>825</v>
      </c>
      <c r="G110" s="17">
        <f>F110*(Constant!$B$11/365)</f>
        <v>60.57534246575343</v>
      </c>
      <c r="H110" s="16">
        <f>IF(F110&lt;'Manager''s Page'!$B$11,'Manager''s Page'!$B$14,0)</f>
        <v>0</v>
      </c>
      <c r="I110" s="17" cm="1">
        <f t="array" ref="I110">_xlfn.IFS(H110&lt;Constant!$A$3,0,H110&lt;Constant!$A$4,375,H110&lt;Constant!$A$5,275,H110&lt;Constant!$A$6,175)</f>
        <v>0</v>
      </c>
      <c r="J110" s="16">
        <f t="shared" si="11"/>
        <v>679</v>
      </c>
      <c r="K110" s="16">
        <f t="shared" si="12"/>
        <v>825</v>
      </c>
      <c r="L110" s="14">
        <f t="shared" si="13"/>
        <v>679</v>
      </c>
      <c r="M110" s="44">
        <f t="shared" si="14"/>
        <v>825</v>
      </c>
    </row>
    <row r="111" spans="1:13" x14ac:dyDescent="0.25">
      <c r="A111" s="14">
        <f>'Manager''s Page'!H111</f>
        <v>109</v>
      </c>
      <c r="B111" s="15">
        <f t="shared" si="15"/>
        <v>825</v>
      </c>
      <c r="C111" s="16">
        <f>'Manager''s Page'!I111</f>
        <v>299</v>
      </c>
      <c r="D111" s="16">
        <f t="shared" si="8"/>
        <v>299</v>
      </c>
      <c r="E111" s="16">
        <f t="shared" si="9"/>
        <v>0</v>
      </c>
      <c r="F111" s="16">
        <f t="shared" si="10"/>
        <v>526</v>
      </c>
      <c r="G111" s="17">
        <f>F111*(Constant!$B$11/365)</f>
        <v>38.621369863013705</v>
      </c>
      <c r="H111" s="16">
        <f>IF(F111&lt;'Manager''s Page'!$B$11,'Manager''s Page'!$B$14,0)</f>
        <v>0</v>
      </c>
      <c r="I111" s="17" cm="1">
        <f t="array" ref="I111">_xlfn.IFS(H111&lt;Constant!$A$3,0,H111&lt;Constant!$A$4,375,H111&lt;Constant!$A$5,275,H111&lt;Constant!$A$6,175)</f>
        <v>0</v>
      </c>
      <c r="J111" s="16">
        <f t="shared" si="11"/>
        <v>299</v>
      </c>
      <c r="K111" s="16">
        <f t="shared" si="12"/>
        <v>526</v>
      </c>
      <c r="L111" s="14">
        <f t="shared" si="13"/>
        <v>299</v>
      </c>
      <c r="M111" s="44">
        <f t="shared" si="14"/>
        <v>526</v>
      </c>
    </row>
    <row r="112" spans="1:13" x14ac:dyDescent="0.25">
      <c r="A112" s="14">
        <f>'Manager''s Page'!H112</f>
        <v>110</v>
      </c>
      <c r="B112" s="15">
        <f t="shared" si="15"/>
        <v>526</v>
      </c>
      <c r="C112" s="16">
        <f>'Manager''s Page'!I112</f>
        <v>379</v>
      </c>
      <c r="D112" s="16">
        <f t="shared" si="8"/>
        <v>379</v>
      </c>
      <c r="E112" s="16">
        <f t="shared" si="9"/>
        <v>0</v>
      </c>
      <c r="F112" s="16">
        <f t="shared" si="10"/>
        <v>147</v>
      </c>
      <c r="G112" s="17">
        <f>F112*(Constant!$B$11/365)</f>
        <v>10.793424657534247</v>
      </c>
      <c r="H112" s="16">
        <f>IF(F112&lt;'Manager''s Page'!$B$11,'Manager''s Page'!$B$14,0)</f>
        <v>5000</v>
      </c>
      <c r="I112" s="17" cm="1">
        <f t="array" ref="I112">_xlfn.IFS(H112&lt;Constant!$A$3,0,H112&lt;Constant!$A$4,375,H112&lt;Constant!$A$5,275,H112&lt;Constant!$A$6,175)</f>
        <v>275</v>
      </c>
      <c r="J112" s="16">
        <f t="shared" si="11"/>
        <v>379</v>
      </c>
      <c r="K112" s="16">
        <f t="shared" si="12"/>
        <v>147</v>
      </c>
      <c r="L112" s="14">
        <f t="shared" si="13"/>
        <v>379</v>
      </c>
      <c r="M112" s="44">
        <f t="shared" si="14"/>
        <v>147</v>
      </c>
    </row>
    <row r="113" spans="1:13" x14ac:dyDescent="0.25">
      <c r="A113" s="14">
        <f>'Manager''s Page'!H113</f>
        <v>111</v>
      </c>
      <c r="B113" s="15">
        <f t="shared" si="15"/>
        <v>5147</v>
      </c>
      <c r="C113" s="16">
        <f>'Manager''s Page'!I113</f>
        <v>373</v>
      </c>
      <c r="D113" s="16">
        <f t="shared" si="8"/>
        <v>373</v>
      </c>
      <c r="E113" s="16">
        <f t="shared" si="9"/>
        <v>0</v>
      </c>
      <c r="F113" s="16">
        <f t="shared" si="10"/>
        <v>4774</v>
      </c>
      <c r="G113" s="17">
        <f>F113*(Constant!$B$11/365)</f>
        <v>350.52931506849319</v>
      </c>
      <c r="H113" s="16">
        <f>IF(F113&lt;'Manager''s Page'!$B$11,'Manager''s Page'!$B$14,0)</f>
        <v>0</v>
      </c>
      <c r="I113" s="17" cm="1">
        <f t="array" ref="I113">_xlfn.IFS(H113&lt;Constant!$A$3,0,H113&lt;Constant!$A$4,375,H113&lt;Constant!$A$5,275,H113&lt;Constant!$A$6,175)</f>
        <v>0</v>
      </c>
      <c r="J113" s="16">
        <f t="shared" si="11"/>
        <v>373</v>
      </c>
      <c r="K113" s="16">
        <f t="shared" si="12"/>
        <v>4774</v>
      </c>
      <c r="L113" s="14">
        <f t="shared" si="13"/>
        <v>373</v>
      </c>
      <c r="M113" s="44">
        <f t="shared" si="14"/>
        <v>4774</v>
      </c>
    </row>
    <row r="114" spans="1:13" x14ac:dyDescent="0.25">
      <c r="A114" s="14">
        <f>'Manager''s Page'!H114</f>
        <v>112</v>
      </c>
      <c r="B114" s="15">
        <f t="shared" si="15"/>
        <v>4774</v>
      </c>
      <c r="C114" s="16">
        <f>'Manager''s Page'!I114</f>
        <v>758</v>
      </c>
      <c r="D114" s="16">
        <f t="shared" si="8"/>
        <v>758</v>
      </c>
      <c r="E114" s="16">
        <f t="shared" si="9"/>
        <v>0</v>
      </c>
      <c r="F114" s="16">
        <f t="shared" si="10"/>
        <v>4016</v>
      </c>
      <c r="G114" s="17">
        <f>F114*(Constant!$B$11/365)</f>
        <v>294.87342465753426</v>
      </c>
      <c r="H114" s="16">
        <f>IF(F114&lt;'Manager''s Page'!$B$11,'Manager''s Page'!$B$14,0)</f>
        <v>0</v>
      </c>
      <c r="I114" s="17" cm="1">
        <f t="array" ref="I114">_xlfn.IFS(H114&lt;Constant!$A$3,0,H114&lt;Constant!$A$4,375,H114&lt;Constant!$A$5,275,H114&lt;Constant!$A$6,175)</f>
        <v>0</v>
      </c>
      <c r="J114" s="16">
        <f t="shared" si="11"/>
        <v>758</v>
      </c>
      <c r="K114" s="16">
        <f t="shared" si="12"/>
        <v>4016</v>
      </c>
      <c r="L114" s="14">
        <f t="shared" si="13"/>
        <v>758</v>
      </c>
      <c r="M114" s="44">
        <f t="shared" si="14"/>
        <v>4016</v>
      </c>
    </row>
    <row r="115" spans="1:13" x14ac:dyDescent="0.25">
      <c r="A115" s="14">
        <f>'Manager''s Page'!H115</f>
        <v>113</v>
      </c>
      <c r="B115" s="15">
        <f t="shared" si="15"/>
        <v>4016</v>
      </c>
      <c r="C115" s="16">
        <f>'Manager''s Page'!I115</f>
        <v>246</v>
      </c>
      <c r="D115" s="16">
        <f t="shared" si="8"/>
        <v>246</v>
      </c>
      <c r="E115" s="16">
        <f t="shared" si="9"/>
        <v>0</v>
      </c>
      <c r="F115" s="16">
        <f t="shared" si="10"/>
        <v>3770</v>
      </c>
      <c r="G115" s="17">
        <f>F115*(Constant!$B$11/365)</f>
        <v>276.81095890410961</v>
      </c>
      <c r="H115" s="16">
        <f>IF(F115&lt;'Manager''s Page'!$B$11,'Manager''s Page'!$B$14,0)</f>
        <v>0</v>
      </c>
      <c r="I115" s="17" cm="1">
        <f t="array" ref="I115">_xlfn.IFS(H115&lt;Constant!$A$3,0,H115&lt;Constant!$A$4,375,H115&lt;Constant!$A$5,275,H115&lt;Constant!$A$6,175)</f>
        <v>0</v>
      </c>
      <c r="J115" s="16">
        <f t="shared" si="11"/>
        <v>246</v>
      </c>
      <c r="K115" s="16">
        <f t="shared" si="12"/>
        <v>3770</v>
      </c>
      <c r="L115" s="14">
        <f t="shared" si="13"/>
        <v>246</v>
      </c>
      <c r="M115" s="44">
        <f t="shared" si="14"/>
        <v>3770</v>
      </c>
    </row>
    <row r="116" spans="1:13" x14ac:dyDescent="0.25">
      <c r="A116" s="14">
        <f>'Manager''s Page'!H116</f>
        <v>114</v>
      </c>
      <c r="B116" s="15">
        <f t="shared" si="15"/>
        <v>3770</v>
      </c>
      <c r="C116" s="16">
        <f>'Manager''s Page'!I116</f>
        <v>435</v>
      </c>
      <c r="D116" s="16">
        <f t="shared" si="8"/>
        <v>435</v>
      </c>
      <c r="E116" s="16">
        <f t="shared" si="9"/>
        <v>0</v>
      </c>
      <c r="F116" s="16">
        <f t="shared" si="10"/>
        <v>3335</v>
      </c>
      <c r="G116" s="17">
        <f>F116*(Constant!$B$11/365)</f>
        <v>244.87123287671236</v>
      </c>
      <c r="H116" s="16">
        <f>IF(F116&lt;'Manager''s Page'!$B$11,'Manager''s Page'!$B$14,0)</f>
        <v>0</v>
      </c>
      <c r="I116" s="17" cm="1">
        <f t="array" ref="I116">_xlfn.IFS(H116&lt;Constant!$A$3,0,H116&lt;Constant!$A$4,375,H116&lt;Constant!$A$5,275,H116&lt;Constant!$A$6,175)</f>
        <v>0</v>
      </c>
      <c r="J116" s="16">
        <f t="shared" si="11"/>
        <v>435</v>
      </c>
      <c r="K116" s="16">
        <f t="shared" si="12"/>
        <v>3335</v>
      </c>
      <c r="L116" s="14">
        <f t="shared" si="13"/>
        <v>435</v>
      </c>
      <c r="M116" s="44">
        <f t="shared" si="14"/>
        <v>3335</v>
      </c>
    </row>
    <row r="117" spans="1:13" x14ac:dyDescent="0.25">
      <c r="A117" s="14">
        <f>'Manager''s Page'!H117</f>
        <v>115</v>
      </c>
      <c r="B117" s="15">
        <f t="shared" si="15"/>
        <v>3335</v>
      </c>
      <c r="C117" s="16">
        <f>'Manager''s Page'!I117</f>
        <v>797</v>
      </c>
      <c r="D117" s="16">
        <f t="shared" si="8"/>
        <v>797</v>
      </c>
      <c r="E117" s="16">
        <f t="shared" si="9"/>
        <v>0</v>
      </c>
      <c r="F117" s="16">
        <f t="shared" si="10"/>
        <v>2538</v>
      </c>
      <c r="G117" s="17">
        <f>F117*(Constant!$B$11/365)</f>
        <v>186.35178082191783</v>
      </c>
      <c r="H117" s="16">
        <f>IF(F117&lt;'Manager''s Page'!$B$11,'Manager''s Page'!$B$14,0)</f>
        <v>0</v>
      </c>
      <c r="I117" s="17" cm="1">
        <f t="array" ref="I117">_xlfn.IFS(H117&lt;Constant!$A$3,0,H117&lt;Constant!$A$4,375,H117&lt;Constant!$A$5,275,H117&lt;Constant!$A$6,175)</f>
        <v>0</v>
      </c>
      <c r="J117" s="16">
        <f t="shared" si="11"/>
        <v>797</v>
      </c>
      <c r="K117" s="16">
        <f t="shared" si="12"/>
        <v>2538</v>
      </c>
      <c r="L117" s="14">
        <f t="shared" si="13"/>
        <v>797</v>
      </c>
      <c r="M117" s="44">
        <f t="shared" si="14"/>
        <v>2538</v>
      </c>
    </row>
    <row r="118" spans="1:13" x14ac:dyDescent="0.25">
      <c r="A118" s="14">
        <f>'Manager''s Page'!H118</f>
        <v>116</v>
      </c>
      <c r="B118" s="15">
        <f t="shared" si="15"/>
        <v>2538</v>
      </c>
      <c r="C118" s="16">
        <f>'Manager''s Page'!I118</f>
        <v>273</v>
      </c>
      <c r="D118" s="16">
        <f t="shared" si="8"/>
        <v>273</v>
      </c>
      <c r="E118" s="16">
        <f t="shared" si="9"/>
        <v>0</v>
      </c>
      <c r="F118" s="16">
        <f t="shared" si="10"/>
        <v>2265</v>
      </c>
      <c r="G118" s="17">
        <f>F118*(Constant!$B$11/365)</f>
        <v>166.30684931506852</v>
      </c>
      <c r="H118" s="16">
        <f>IF(F118&lt;'Manager''s Page'!$B$11,'Manager''s Page'!$B$14,0)</f>
        <v>0</v>
      </c>
      <c r="I118" s="17" cm="1">
        <f t="array" ref="I118">_xlfn.IFS(H118&lt;Constant!$A$3,0,H118&lt;Constant!$A$4,375,H118&lt;Constant!$A$5,275,H118&lt;Constant!$A$6,175)</f>
        <v>0</v>
      </c>
      <c r="J118" s="16">
        <f t="shared" si="11"/>
        <v>273</v>
      </c>
      <c r="K118" s="16">
        <f t="shared" si="12"/>
        <v>2265</v>
      </c>
      <c r="L118" s="14">
        <f t="shared" si="13"/>
        <v>273</v>
      </c>
      <c r="M118" s="44">
        <f t="shared" si="14"/>
        <v>2265</v>
      </c>
    </row>
    <row r="119" spans="1:13" x14ac:dyDescent="0.25">
      <c r="A119" s="14">
        <f>'Manager''s Page'!H119</f>
        <v>117</v>
      </c>
      <c r="B119" s="15">
        <f t="shared" si="15"/>
        <v>2265</v>
      </c>
      <c r="C119" s="16">
        <f>'Manager''s Page'!I119</f>
        <v>344</v>
      </c>
      <c r="D119" s="16">
        <f t="shared" si="8"/>
        <v>344</v>
      </c>
      <c r="E119" s="16">
        <f t="shared" si="9"/>
        <v>0</v>
      </c>
      <c r="F119" s="16">
        <f t="shared" si="10"/>
        <v>1921</v>
      </c>
      <c r="G119" s="17">
        <f>F119*(Constant!$B$11/365)</f>
        <v>141.04876712328769</v>
      </c>
      <c r="H119" s="16">
        <f>IF(F119&lt;'Manager''s Page'!$B$11,'Manager''s Page'!$B$14,0)</f>
        <v>0</v>
      </c>
      <c r="I119" s="17" cm="1">
        <f t="array" ref="I119">_xlfn.IFS(H119&lt;Constant!$A$3,0,H119&lt;Constant!$A$4,375,H119&lt;Constant!$A$5,275,H119&lt;Constant!$A$6,175)</f>
        <v>0</v>
      </c>
      <c r="J119" s="16">
        <f t="shared" si="11"/>
        <v>344</v>
      </c>
      <c r="K119" s="16">
        <f t="shared" si="12"/>
        <v>1921</v>
      </c>
      <c r="L119" s="14">
        <f t="shared" si="13"/>
        <v>344</v>
      </c>
      <c r="M119" s="44">
        <f t="shared" si="14"/>
        <v>1921</v>
      </c>
    </row>
    <row r="120" spans="1:13" x14ac:dyDescent="0.25">
      <c r="A120" s="14">
        <f>'Manager''s Page'!H120</f>
        <v>118</v>
      </c>
      <c r="B120" s="15">
        <f t="shared" si="15"/>
        <v>1921</v>
      </c>
      <c r="C120" s="16">
        <f>'Manager''s Page'!I120</f>
        <v>525</v>
      </c>
      <c r="D120" s="16">
        <f t="shared" si="8"/>
        <v>525</v>
      </c>
      <c r="E120" s="16">
        <f t="shared" si="9"/>
        <v>0</v>
      </c>
      <c r="F120" s="16">
        <f t="shared" si="10"/>
        <v>1396</v>
      </c>
      <c r="G120" s="17">
        <f>F120*(Constant!$B$11/365)</f>
        <v>102.50082191780822</v>
      </c>
      <c r="H120" s="16">
        <f>IF(F120&lt;'Manager''s Page'!$B$11,'Manager''s Page'!$B$14,0)</f>
        <v>0</v>
      </c>
      <c r="I120" s="17" cm="1">
        <f t="array" ref="I120">_xlfn.IFS(H120&lt;Constant!$A$3,0,H120&lt;Constant!$A$4,375,H120&lt;Constant!$A$5,275,H120&lt;Constant!$A$6,175)</f>
        <v>0</v>
      </c>
      <c r="J120" s="16">
        <f t="shared" si="11"/>
        <v>525</v>
      </c>
      <c r="K120" s="16">
        <f t="shared" si="12"/>
        <v>1396</v>
      </c>
      <c r="L120" s="14">
        <f t="shared" si="13"/>
        <v>525</v>
      </c>
      <c r="M120" s="44">
        <f t="shared" si="14"/>
        <v>1396</v>
      </c>
    </row>
    <row r="121" spans="1:13" x14ac:dyDescent="0.25">
      <c r="A121" s="14">
        <f>'Manager''s Page'!H121</f>
        <v>119</v>
      </c>
      <c r="B121" s="15">
        <f t="shared" si="15"/>
        <v>1396</v>
      </c>
      <c r="C121" s="16">
        <f>'Manager''s Page'!I121</f>
        <v>408</v>
      </c>
      <c r="D121" s="16">
        <f t="shared" si="8"/>
        <v>408</v>
      </c>
      <c r="E121" s="16">
        <f t="shared" si="9"/>
        <v>0</v>
      </c>
      <c r="F121" s="16">
        <f t="shared" si="10"/>
        <v>988</v>
      </c>
      <c r="G121" s="17">
        <f>F121*(Constant!$B$11/365)</f>
        <v>72.543561643835616</v>
      </c>
      <c r="H121" s="16">
        <f>IF(F121&lt;'Manager''s Page'!$B$11,'Manager''s Page'!$B$14,0)</f>
        <v>0</v>
      </c>
      <c r="I121" s="17" cm="1">
        <f t="array" ref="I121">_xlfn.IFS(H121&lt;Constant!$A$3,0,H121&lt;Constant!$A$4,375,H121&lt;Constant!$A$5,275,H121&lt;Constant!$A$6,175)</f>
        <v>0</v>
      </c>
      <c r="J121" s="16">
        <f t="shared" si="11"/>
        <v>408</v>
      </c>
      <c r="K121" s="16">
        <f t="shared" si="12"/>
        <v>988</v>
      </c>
      <c r="L121" s="14">
        <f t="shared" si="13"/>
        <v>408</v>
      </c>
      <c r="M121" s="44">
        <f t="shared" si="14"/>
        <v>988</v>
      </c>
    </row>
    <row r="122" spans="1:13" x14ac:dyDescent="0.25">
      <c r="A122" s="14">
        <f>'Manager''s Page'!H122</f>
        <v>120</v>
      </c>
      <c r="B122" s="15">
        <f t="shared" si="15"/>
        <v>988</v>
      </c>
      <c r="C122" s="16">
        <f>'Manager''s Page'!I122</f>
        <v>903</v>
      </c>
      <c r="D122" s="16">
        <f t="shared" si="8"/>
        <v>903</v>
      </c>
      <c r="E122" s="16">
        <f t="shared" si="9"/>
        <v>0</v>
      </c>
      <c r="F122" s="16">
        <f t="shared" si="10"/>
        <v>85</v>
      </c>
      <c r="G122" s="17">
        <f>F122*(Constant!$B$11/365)</f>
        <v>6.2410958904109597</v>
      </c>
      <c r="H122" s="16">
        <f>IF(F122&lt;'Manager''s Page'!$B$11,'Manager''s Page'!$B$14,0)</f>
        <v>5000</v>
      </c>
      <c r="I122" s="17" cm="1">
        <f t="array" ref="I122">_xlfn.IFS(H122&lt;Constant!$A$3,0,H122&lt;Constant!$A$4,375,H122&lt;Constant!$A$5,275,H122&lt;Constant!$A$6,175)</f>
        <v>275</v>
      </c>
      <c r="J122" s="16">
        <f t="shared" si="11"/>
        <v>903</v>
      </c>
      <c r="K122" s="16">
        <f t="shared" si="12"/>
        <v>85</v>
      </c>
      <c r="L122" s="14">
        <f t="shared" si="13"/>
        <v>903</v>
      </c>
      <c r="M122" s="44">
        <f t="shared" si="14"/>
        <v>85</v>
      </c>
    </row>
    <row r="123" spans="1:13" x14ac:dyDescent="0.25">
      <c r="A123" s="14">
        <f>'Manager''s Page'!H123</f>
        <v>121</v>
      </c>
      <c r="B123" s="15">
        <f t="shared" si="15"/>
        <v>5085</v>
      </c>
      <c r="C123" s="16">
        <f>'Manager''s Page'!I123</f>
        <v>705</v>
      </c>
      <c r="D123" s="16">
        <f t="shared" si="8"/>
        <v>705</v>
      </c>
      <c r="E123" s="16">
        <f t="shared" si="9"/>
        <v>0</v>
      </c>
      <c r="F123" s="16">
        <f t="shared" si="10"/>
        <v>4380</v>
      </c>
      <c r="G123" s="17">
        <f>F123*(Constant!$B$11/365)</f>
        <v>321.60000000000002</v>
      </c>
      <c r="H123" s="16">
        <f>IF(F123&lt;'Manager''s Page'!$B$11,'Manager''s Page'!$B$14,0)</f>
        <v>0</v>
      </c>
      <c r="I123" s="17" cm="1">
        <f t="array" ref="I123">_xlfn.IFS(H123&lt;Constant!$A$3,0,H123&lt;Constant!$A$4,375,H123&lt;Constant!$A$5,275,H123&lt;Constant!$A$6,175)</f>
        <v>0</v>
      </c>
      <c r="J123" s="16">
        <f t="shared" si="11"/>
        <v>705</v>
      </c>
      <c r="K123" s="16">
        <f t="shared" si="12"/>
        <v>4380</v>
      </c>
      <c r="L123" s="14">
        <f t="shared" si="13"/>
        <v>705</v>
      </c>
      <c r="M123" s="44">
        <f t="shared" si="14"/>
        <v>4380</v>
      </c>
    </row>
    <row r="124" spans="1:13" x14ac:dyDescent="0.25">
      <c r="A124" s="14">
        <f>'Manager''s Page'!H124</f>
        <v>122</v>
      </c>
      <c r="B124" s="15">
        <f t="shared" si="15"/>
        <v>4380</v>
      </c>
      <c r="C124" s="16">
        <f>'Manager''s Page'!I124</f>
        <v>932</v>
      </c>
      <c r="D124" s="16">
        <f t="shared" si="8"/>
        <v>932</v>
      </c>
      <c r="E124" s="16">
        <f t="shared" si="9"/>
        <v>0</v>
      </c>
      <c r="F124" s="16">
        <f t="shared" si="10"/>
        <v>3448</v>
      </c>
      <c r="G124" s="17">
        <f>F124*(Constant!$B$11/365)</f>
        <v>253.16821917808221</v>
      </c>
      <c r="H124" s="16">
        <f>IF(F124&lt;'Manager''s Page'!$B$11,'Manager''s Page'!$B$14,0)</f>
        <v>0</v>
      </c>
      <c r="I124" s="17" cm="1">
        <f t="array" ref="I124">_xlfn.IFS(H124&lt;Constant!$A$3,0,H124&lt;Constant!$A$4,375,H124&lt;Constant!$A$5,275,H124&lt;Constant!$A$6,175)</f>
        <v>0</v>
      </c>
      <c r="J124" s="16">
        <f t="shared" si="11"/>
        <v>932</v>
      </c>
      <c r="K124" s="16">
        <f t="shared" si="12"/>
        <v>3448</v>
      </c>
      <c r="L124" s="14">
        <f t="shared" si="13"/>
        <v>932</v>
      </c>
      <c r="M124" s="44">
        <f t="shared" si="14"/>
        <v>3448</v>
      </c>
    </row>
    <row r="125" spans="1:13" x14ac:dyDescent="0.25">
      <c r="A125" s="14">
        <f>'Manager''s Page'!H125</f>
        <v>123</v>
      </c>
      <c r="B125" s="15">
        <f t="shared" si="15"/>
        <v>3448</v>
      </c>
      <c r="C125" s="16">
        <f>'Manager''s Page'!I125</f>
        <v>784</v>
      </c>
      <c r="D125" s="16">
        <f t="shared" si="8"/>
        <v>784</v>
      </c>
      <c r="E125" s="16">
        <f t="shared" si="9"/>
        <v>0</v>
      </c>
      <c r="F125" s="16">
        <f t="shared" si="10"/>
        <v>2664</v>
      </c>
      <c r="G125" s="17">
        <f>F125*(Constant!$B$11/365)</f>
        <v>195.60328767123289</v>
      </c>
      <c r="H125" s="16">
        <f>IF(F125&lt;'Manager''s Page'!$B$11,'Manager''s Page'!$B$14,0)</f>
        <v>0</v>
      </c>
      <c r="I125" s="17" cm="1">
        <f t="array" ref="I125">_xlfn.IFS(H125&lt;Constant!$A$3,0,H125&lt;Constant!$A$4,375,H125&lt;Constant!$A$5,275,H125&lt;Constant!$A$6,175)</f>
        <v>0</v>
      </c>
      <c r="J125" s="16">
        <f t="shared" si="11"/>
        <v>784</v>
      </c>
      <c r="K125" s="16">
        <f t="shared" si="12"/>
        <v>2664</v>
      </c>
      <c r="L125" s="14">
        <f t="shared" si="13"/>
        <v>784</v>
      </c>
      <c r="M125" s="44">
        <f t="shared" si="14"/>
        <v>2664</v>
      </c>
    </row>
    <row r="126" spans="1:13" x14ac:dyDescent="0.25">
      <c r="A126" s="14">
        <f>'Manager''s Page'!H126</f>
        <v>124</v>
      </c>
      <c r="B126" s="15">
        <f t="shared" si="15"/>
        <v>2664</v>
      </c>
      <c r="C126" s="16">
        <f>'Manager''s Page'!I126</f>
        <v>817</v>
      </c>
      <c r="D126" s="16">
        <f t="shared" si="8"/>
        <v>817</v>
      </c>
      <c r="E126" s="16">
        <f t="shared" si="9"/>
        <v>0</v>
      </c>
      <c r="F126" s="16">
        <f t="shared" si="10"/>
        <v>1847</v>
      </c>
      <c r="G126" s="17">
        <f>F126*(Constant!$B$11/365)</f>
        <v>135.61534246575343</v>
      </c>
      <c r="H126" s="16">
        <f>IF(F126&lt;'Manager''s Page'!$B$11,'Manager''s Page'!$B$14,0)</f>
        <v>0</v>
      </c>
      <c r="I126" s="17" cm="1">
        <f t="array" ref="I126">_xlfn.IFS(H126&lt;Constant!$A$3,0,H126&lt;Constant!$A$4,375,H126&lt;Constant!$A$5,275,H126&lt;Constant!$A$6,175)</f>
        <v>0</v>
      </c>
      <c r="J126" s="16">
        <f t="shared" si="11"/>
        <v>817</v>
      </c>
      <c r="K126" s="16">
        <f t="shared" si="12"/>
        <v>1847</v>
      </c>
      <c r="L126" s="14">
        <f t="shared" si="13"/>
        <v>817</v>
      </c>
      <c r="M126" s="44">
        <f t="shared" si="14"/>
        <v>1847</v>
      </c>
    </row>
    <row r="127" spans="1:13" x14ac:dyDescent="0.25">
      <c r="A127" s="14">
        <f>'Manager''s Page'!H127</f>
        <v>125</v>
      </c>
      <c r="B127" s="15">
        <f t="shared" si="15"/>
        <v>1847</v>
      </c>
      <c r="C127" s="16">
        <f>'Manager''s Page'!I127</f>
        <v>477</v>
      </c>
      <c r="D127" s="16">
        <f t="shared" si="8"/>
        <v>477</v>
      </c>
      <c r="E127" s="16">
        <f t="shared" si="9"/>
        <v>0</v>
      </c>
      <c r="F127" s="16">
        <f t="shared" si="10"/>
        <v>1370</v>
      </c>
      <c r="G127" s="17">
        <f>F127*(Constant!$B$11/365)</f>
        <v>100.59178082191782</v>
      </c>
      <c r="H127" s="16">
        <f>IF(F127&lt;'Manager''s Page'!$B$11,'Manager''s Page'!$B$14,0)</f>
        <v>0</v>
      </c>
      <c r="I127" s="17" cm="1">
        <f t="array" ref="I127">_xlfn.IFS(H127&lt;Constant!$A$3,0,H127&lt;Constant!$A$4,375,H127&lt;Constant!$A$5,275,H127&lt;Constant!$A$6,175)</f>
        <v>0</v>
      </c>
      <c r="J127" s="16">
        <f t="shared" si="11"/>
        <v>477</v>
      </c>
      <c r="K127" s="16">
        <f t="shared" si="12"/>
        <v>1370</v>
      </c>
      <c r="L127" s="14">
        <f t="shared" si="13"/>
        <v>477</v>
      </c>
      <c r="M127" s="44">
        <f t="shared" si="14"/>
        <v>1370</v>
      </c>
    </row>
    <row r="128" spans="1:13" x14ac:dyDescent="0.25">
      <c r="A128" s="14">
        <f>'Manager''s Page'!H128</f>
        <v>126</v>
      </c>
      <c r="B128" s="15">
        <f t="shared" si="15"/>
        <v>1370</v>
      </c>
      <c r="C128" s="16">
        <f>'Manager''s Page'!I128</f>
        <v>840</v>
      </c>
      <c r="D128" s="16">
        <f t="shared" si="8"/>
        <v>840</v>
      </c>
      <c r="E128" s="16">
        <f t="shared" si="9"/>
        <v>0</v>
      </c>
      <c r="F128" s="16">
        <f t="shared" si="10"/>
        <v>530</v>
      </c>
      <c r="G128" s="17">
        <f>F128*(Constant!$B$11/365)</f>
        <v>38.915068493150692</v>
      </c>
      <c r="H128" s="16">
        <f>IF(F128&lt;'Manager''s Page'!$B$11,'Manager''s Page'!$B$14,0)</f>
        <v>0</v>
      </c>
      <c r="I128" s="17" cm="1">
        <f t="array" ref="I128">_xlfn.IFS(H128&lt;Constant!$A$3,0,H128&lt;Constant!$A$4,375,H128&lt;Constant!$A$5,275,H128&lt;Constant!$A$6,175)</f>
        <v>0</v>
      </c>
      <c r="J128" s="16">
        <f t="shared" si="11"/>
        <v>840</v>
      </c>
      <c r="K128" s="16">
        <f t="shared" si="12"/>
        <v>530</v>
      </c>
      <c r="L128" s="14">
        <f t="shared" si="13"/>
        <v>840</v>
      </c>
      <c r="M128" s="44">
        <f t="shared" si="14"/>
        <v>530</v>
      </c>
    </row>
    <row r="129" spans="1:13" x14ac:dyDescent="0.25">
      <c r="A129" s="14">
        <f>'Manager''s Page'!H129</f>
        <v>127</v>
      </c>
      <c r="B129" s="15">
        <f t="shared" si="15"/>
        <v>530</v>
      </c>
      <c r="C129" s="16">
        <f>'Manager''s Page'!I129</f>
        <v>531</v>
      </c>
      <c r="D129" s="16">
        <f t="shared" si="8"/>
        <v>530</v>
      </c>
      <c r="E129" s="16">
        <f t="shared" si="9"/>
        <v>1</v>
      </c>
      <c r="F129" s="16">
        <f t="shared" si="10"/>
        <v>0</v>
      </c>
      <c r="G129" s="17">
        <f>F129*(Constant!$B$11/365)</f>
        <v>0</v>
      </c>
      <c r="H129" s="16">
        <f>IF(F129&lt;'Manager''s Page'!$B$11,'Manager''s Page'!$B$14,0)</f>
        <v>5000</v>
      </c>
      <c r="I129" s="17" cm="1">
        <f t="array" ref="I129">_xlfn.IFS(H129&lt;Constant!$A$3,0,H129&lt;Constant!$A$4,375,H129&lt;Constant!$A$5,275,H129&lt;Constant!$A$6,175)</f>
        <v>275</v>
      </c>
      <c r="J129" s="16">
        <f t="shared" si="11"/>
        <v>531</v>
      </c>
      <c r="K129" s="16">
        <f t="shared" si="12"/>
        <v>0</v>
      </c>
      <c r="L129" s="14">
        <f t="shared" si="13"/>
        <v>531</v>
      </c>
      <c r="M129" s="44">
        <f t="shared" si="14"/>
        <v>0</v>
      </c>
    </row>
    <row r="130" spans="1:13" x14ac:dyDescent="0.25">
      <c r="A130" s="14">
        <f>'Manager''s Page'!H130</f>
        <v>128</v>
      </c>
      <c r="B130" s="15">
        <f t="shared" si="15"/>
        <v>5000</v>
      </c>
      <c r="C130" s="16">
        <f>'Manager''s Page'!I130</f>
        <v>436</v>
      </c>
      <c r="D130" s="16">
        <f t="shared" si="8"/>
        <v>436</v>
      </c>
      <c r="E130" s="16">
        <f t="shared" si="9"/>
        <v>0</v>
      </c>
      <c r="F130" s="16">
        <f t="shared" si="10"/>
        <v>4564</v>
      </c>
      <c r="G130" s="17">
        <f>F130*(Constant!$B$11/365)</f>
        <v>335.11013698630143</v>
      </c>
      <c r="H130" s="16">
        <f>IF(F130&lt;'Manager''s Page'!$B$11,'Manager''s Page'!$B$14,0)</f>
        <v>0</v>
      </c>
      <c r="I130" s="17" cm="1">
        <f t="array" ref="I130">_xlfn.IFS(H130&lt;Constant!$A$3,0,H130&lt;Constant!$A$4,375,H130&lt;Constant!$A$5,275,H130&lt;Constant!$A$6,175)</f>
        <v>0</v>
      </c>
      <c r="J130" s="16">
        <f t="shared" si="11"/>
        <v>436</v>
      </c>
      <c r="K130" s="16">
        <f t="shared" si="12"/>
        <v>4564</v>
      </c>
      <c r="L130" s="14">
        <f t="shared" si="13"/>
        <v>436</v>
      </c>
      <c r="M130" s="44">
        <f t="shared" si="14"/>
        <v>4564</v>
      </c>
    </row>
    <row r="131" spans="1:13" x14ac:dyDescent="0.25">
      <c r="A131" s="14">
        <f>'Manager''s Page'!H131</f>
        <v>129</v>
      </c>
      <c r="B131" s="15">
        <f t="shared" si="15"/>
        <v>4564</v>
      </c>
      <c r="C131" s="16">
        <f>'Manager''s Page'!I131</f>
        <v>261</v>
      </c>
      <c r="D131" s="16">
        <f t="shared" si="8"/>
        <v>261</v>
      </c>
      <c r="E131" s="16">
        <f t="shared" si="9"/>
        <v>0</v>
      </c>
      <c r="F131" s="16">
        <f t="shared" si="10"/>
        <v>4303</v>
      </c>
      <c r="G131" s="17">
        <f>F131*(Constant!$B$11/365)</f>
        <v>315.94630136986302</v>
      </c>
      <c r="H131" s="16">
        <f>IF(F131&lt;'Manager''s Page'!$B$11,'Manager''s Page'!$B$14,0)</f>
        <v>0</v>
      </c>
      <c r="I131" s="17" cm="1">
        <f t="array" ref="I131">_xlfn.IFS(H131&lt;Constant!$A$3,0,H131&lt;Constant!$A$4,375,H131&lt;Constant!$A$5,275,H131&lt;Constant!$A$6,175)</f>
        <v>0</v>
      </c>
      <c r="J131" s="16">
        <f t="shared" si="11"/>
        <v>261</v>
      </c>
      <c r="K131" s="16">
        <f t="shared" si="12"/>
        <v>4303</v>
      </c>
      <c r="L131" s="14">
        <f t="shared" si="13"/>
        <v>261</v>
      </c>
      <c r="M131" s="44">
        <f t="shared" si="14"/>
        <v>4303</v>
      </c>
    </row>
    <row r="132" spans="1:13" x14ac:dyDescent="0.25">
      <c r="A132" s="14">
        <f>'Manager''s Page'!H132</f>
        <v>130</v>
      </c>
      <c r="B132" s="15">
        <f t="shared" si="15"/>
        <v>4303</v>
      </c>
      <c r="C132" s="16">
        <f>'Manager''s Page'!I132</f>
        <v>669</v>
      </c>
      <c r="D132" s="16">
        <f t="shared" ref="D132:D195" si="16">IF(B132&gt;C132,C132,B132)</f>
        <v>669</v>
      </c>
      <c r="E132" s="16">
        <f t="shared" ref="E132:E195" si="17">C132-D132</f>
        <v>0</v>
      </c>
      <c r="F132" s="16">
        <f t="shared" ref="F132:F195" si="18">B132-D132</f>
        <v>3634</v>
      </c>
      <c r="G132" s="17">
        <f>F132*(Constant!$B$11/365)</f>
        <v>266.82520547945205</v>
      </c>
      <c r="H132" s="16">
        <f>IF(F132&lt;'Manager''s Page'!$B$11,'Manager''s Page'!$B$14,0)</f>
        <v>0</v>
      </c>
      <c r="I132" s="17" cm="1">
        <f t="array" ref="I132">_xlfn.IFS(H132&lt;Constant!$A$3,0,H132&lt;Constant!$A$4,375,H132&lt;Constant!$A$5,275,H132&lt;Constant!$A$6,175)</f>
        <v>0</v>
      </c>
      <c r="J132" s="16">
        <f t="shared" ref="J132:J195" si="19">C132</f>
        <v>669</v>
      </c>
      <c r="K132" s="16">
        <f t="shared" ref="K132:K195" si="20">F132</f>
        <v>3634</v>
      </c>
      <c r="L132" s="14">
        <f t="shared" ref="L132:L195" si="21">IF(L$2=TRUE,J132,NA())</f>
        <v>669</v>
      </c>
      <c r="M132" s="44">
        <f t="shared" ref="M132:M195" si="22">IF(M$2=TRUE,K132,NA())</f>
        <v>3634</v>
      </c>
    </row>
    <row r="133" spans="1:13" x14ac:dyDescent="0.25">
      <c r="A133" s="14">
        <f>'Manager''s Page'!H133</f>
        <v>131</v>
      </c>
      <c r="B133" s="15">
        <f t="shared" ref="B133:B196" si="23">F132+H132</f>
        <v>3634</v>
      </c>
      <c r="C133" s="16">
        <f>'Manager''s Page'!I133</f>
        <v>654</v>
      </c>
      <c r="D133" s="16">
        <f t="shared" si="16"/>
        <v>654</v>
      </c>
      <c r="E133" s="16">
        <f t="shared" si="17"/>
        <v>0</v>
      </c>
      <c r="F133" s="16">
        <f t="shared" si="18"/>
        <v>2980</v>
      </c>
      <c r="G133" s="17">
        <f>F133*(Constant!$B$11/365)</f>
        <v>218.80547945205481</v>
      </c>
      <c r="H133" s="16">
        <f>IF(F133&lt;'Manager''s Page'!$B$11,'Manager''s Page'!$B$14,0)</f>
        <v>0</v>
      </c>
      <c r="I133" s="17" cm="1">
        <f t="array" ref="I133">_xlfn.IFS(H133&lt;Constant!$A$3,0,H133&lt;Constant!$A$4,375,H133&lt;Constant!$A$5,275,H133&lt;Constant!$A$6,175)</f>
        <v>0</v>
      </c>
      <c r="J133" s="16">
        <f t="shared" si="19"/>
        <v>654</v>
      </c>
      <c r="K133" s="16">
        <f t="shared" si="20"/>
        <v>2980</v>
      </c>
      <c r="L133" s="14">
        <f t="shared" si="21"/>
        <v>654</v>
      </c>
      <c r="M133" s="44">
        <f t="shared" si="22"/>
        <v>2980</v>
      </c>
    </row>
    <row r="134" spans="1:13" x14ac:dyDescent="0.25">
      <c r="A134" s="14">
        <f>'Manager''s Page'!H134</f>
        <v>132</v>
      </c>
      <c r="B134" s="15">
        <f t="shared" si="23"/>
        <v>2980</v>
      </c>
      <c r="C134" s="16">
        <f>'Manager''s Page'!I134</f>
        <v>244</v>
      </c>
      <c r="D134" s="16">
        <f t="shared" si="16"/>
        <v>244</v>
      </c>
      <c r="E134" s="16">
        <f t="shared" si="17"/>
        <v>0</v>
      </c>
      <c r="F134" s="16">
        <f t="shared" si="18"/>
        <v>2736</v>
      </c>
      <c r="G134" s="17">
        <f>F134*(Constant!$B$11/365)</f>
        <v>200.88986301369866</v>
      </c>
      <c r="H134" s="16">
        <f>IF(F134&lt;'Manager''s Page'!$B$11,'Manager''s Page'!$B$14,0)</f>
        <v>0</v>
      </c>
      <c r="I134" s="17" cm="1">
        <f t="array" ref="I134">_xlfn.IFS(H134&lt;Constant!$A$3,0,H134&lt;Constant!$A$4,375,H134&lt;Constant!$A$5,275,H134&lt;Constant!$A$6,175)</f>
        <v>0</v>
      </c>
      <c r="J134" s="16">
        <f t="shared" si="19"/>
        <v>244</v>
      </c>
      <c r="K134" s="16">
        <f t="shared" si="20"/>
        <v>2736</v>
      </c>
      <c r="L134" s="14">
        <f t="shared" si="21"/>
        <v>244</v>
      </c>
      <c r="M134" s="44">
        <f t="shared" si="22"/>
        <v>2736</v>
      </c>
    </row>
    <row r="135" spans="1:13" x14ac:dyDescent="0.25">
      <c r="A135" s="14">
        <f>'Manager''s Page'!H135</f>
        <v>133</v>
      </c>
      <c r="B135" s="15">
        <f t="shared" si="23"/>
        <v>2736</v>
      </c>
      <c r="C135" s="16">
        <f>'Manager''s Page'!I135</f>
        <v>646</v>
      </c>
      <c r="D135" s="16">
        <f t="shared" si="16"/>
        <v>646</v>
      </c>
      <c r="E135" s="16">
        <f t="shared" si="17"/>
        <v>0</v>
      </c>
      <c r="F135" s="16">
        <f t="shared" si="18"/>
        <v>2090</v>
      </c>
      <c r="G135" s="17">
        <f>F135*(Constant!$B$11/365)</f>
        <v>153.45753424657536</v>
      </c>
      <c r="H135" s="16">
        <f>IF(F135&lt;'Manager''s Page'!$B$11,'Manager''s Page'!$B$14,0)</f>
        <v>0</v>
      </c>
      <c r="I135" s="17" cm="1">
        <f t="array" ref="I135">_xlfn.IFS(H135&lt;Constant!$A$3,0,H135&lt;Constant!$A$4,375,H135&lt;Constant!$A$5,275,H135&lt;Constant!$A$6,175)</f>
        <v>0</v>
      </c>
      <c r="J135" s="16">
        <f t="shared" si="19"/>
        <v>646</v>
      </c>
      <c r="K135" s="16">
        <f t="shared" si="20"/>
        <v>2090</v>
      </c>
      <c r="L135" s="14">
        <f t="shared" si="21"/>
        <v>646</v>
      </c>
      <c r="M135" s="44">
        <f t="shared" si="22"/>
        <v>2090</v>
      </c>
    </row>
    <row r="136" spans="1:13" x14ac:dyDescent="0.25">
      <c r="A136" s="14">
        <f>'Manager''s Page'!H136</f>
        <v>134</v>
      </c>
      <c r="B136" s="15">
        <f t="shared" si="23"/>
        <v>2090</v>
      </c>
      <c r="C136" s="16">
        <f>'Manager''s Page'!I136</f>
        <v>878</v>
      </c>
      <c r="D136" s="16">
        <f t="shared" si="16"/>
        <v>878</v>
      </c>
      <c r="E136" s="16">
        <f t="shared" si="17"/>
        <v>0</v>
      </c>
      <c r="F136" s="16">
        <f t="shared" si="18"/>
        <v>1212</v>
      </c>
      <c r="G136" s="17">
        <f>F136*(Constant!$B$11/365)</f>
        <v>88.990684931506863</v>
      </c>
      <c r="H136" s="16">
        <f>IF(F136&lt;'Manager''s Page'!$B$11,'Manager''s Page'!$B$14,0)</f>
        <v>0</v>
      </c>
      <c r="I136" s="17" cm="1">
        <f t="array" ref="I136">_xlfn.IFS(H136&lt;Constant!$A$3,0,H136&lt;Constant!$A$4,375,H136&lt;Constant!$A$5,275,H136&lt;Constant!$A$6,175)</f>
        <v>0</v>
      </c>
      <c r="J136" s="16">
        <f t="shared" si="19"/>
        <v>878</v>
      </c>
      <c r="K136" s="16">
        <f t="shared" si="20"/>
        <v>1212</v>
      </c>
      <c r="L136" s="14">
        <f t="shared" si="21"/>
        <v>878</v>
      </c>
      <c r="M136" s="44">
        <f t="shared" si="22"/>
        <v>1212</v>
      </c>
    </row>
    <row r="137" spans="1:13" x14ac:dyDescent="0.25">
      <c r="A137" s="14">
        <f>'Manager''s Page'!H137</f>
        <v>135</v>
      </c>
      <c r="B137" s="15">
        <f t="shared" si="23"/>
        <v>1212</v>
      </c>
      <c r="C137" s="16">
        <f>'Manager''s Page'!I137</f>
        <v>714</v>
      </c>
      <c r="D137" s="16">
        <f t="shared" si="16"/>
        <v>714</v>
      </c>
      <c r="E137" s="16">
        <f t="shared" si="17"/>
        <v>0</v>
      </c>
      <c r="F137" s="16">
        <f t="shared" si="18"/>
        <v>498</v>
      </c>
      <c r="G137" s="17">
        <f>F137*(Constant!$B$11/365)</f>
        <v>36.565479452054795</v>
      </c>
      <c r="H137" s="16">
        <f>IF(F137&lt;'Manager''s Page'!$B$11,'Manager''s Page'!$B$14,0)</f>
        <v>0</v>
      </c>
      <c r="I137" s="17" cm="1">
        <f t="array" ref="I137">_xlfn.IFS(H137&lt;Constant!$A$3,0,H137&lt;Constant!$A$4,375,H137&lt;Constant!$A$5,275,H137&lt;Constant!$A$6,175)</f>
        <v>0</v>
      </c>
      <c r="J137" s="16">
        <f t="shared" si="19"/>
        <v>714</v>
      </c>
      <c r="K137" s="16">
        <f t="shared" si="20"/>
        <v>498</v>
      </c>
      <c r="L137" s="14">
        <f t="shared" si="21"/>
        <v>714</v>
      </c>
      <c r="M137" s="44">
        <f t="shared" si="22"/>
        <v>498</v>
      </c>
    </row>
    <row r="138" spans="1:13" x14ac:dyDescent="0.25">
      <c r="A138" s="14">
        <f>'Manager''s Page'!H138</f>
        <v>136</v>
      </c>
      <c r="B138" s="15">
        <f t="shared" si="23"/>
        <v>498</v>
      </c>
      <c r="C138" s="16">
        <f>'Manager''s Page'!I138</f>
        <v>650</v>
      </c>
      <c r="D138" s="16">
        <f t="shared" si="16"/>
        <v>498</v>
      </c>
      <c r="E138" s="16">
        <f t="shared" si="17"/>
        <v>152</v>
      </c>
      <c r="F138" s="16">
        <f t="shared" si="18"/>
        <v>0</v>
      </c>
      <c r="G138" s="17">
        <f>F138*(Constant!$B$11/365)</f>
        <v>0</v>
      </c>
      <c r="H138" s="16">
        <f>IF(F138&lt;'Manager''s Page'!$B$11,'Manager''s Page'!$B$14,0)</f>
        <v>5000</v>
      </c>
      <c r="I138" s="17" cm="1">
        <f t="array" ref="I138">_xlfn.IFS(H138&lt;Constant!$A$3,0,H138&lt;Constant!$A$4,375,H138&lt;Constant!$A$5,275,H138&lt;Constant!$A$6,175)</f>
        <v>275</v>
      </c>
      <c r="J138" s="16">
        <f t="shared" si="19"/>
        <v>650</v>
      </c>
      <c r="K138" s="16">
        <f t="shared" si="20"/>
        <v>0</v>
      </c>
      <c r="L138" s="14">
        <f t="shared" si="21"/>
        <v>650</v>
      </c>
      <c r="M138" s="44">
        <f t="shared" si="22"/>
        <v>0</v>
      </c>
    </row>
    <row r="139" spans="1:13" x14ac:dyDescent="0.25">
      <c r="A139" s="14">
        <f>'Manager''s Page'!H139</f>
        <v>137</v>
      </c>
      <c r="B139" s="15">
        <f t="shared" si="23"/>
        <v>5000</v>
      </c>
      <c r="C139" s="16">
        <f>'Manager''s Page'!I139</f>
        <v>703</v>
      </c>
      <c r="D139" s="16">
        <f t="shared" si="16"/>
        <v>703</v>
      </c>
      <c r="E139" s="16">
        <f t="shared" si="17"/>
        <v>0</v>
      </c>
      <c r="F139" s="16">
        <f t="shared" si="18"/>
        <v>4297</v>
      </c>
      <c r="G139" s="17">
        <f>F139*(Constant!$B$11/365)</f>
        <v>315.50575342465754</v>
      </c>
      <c r="H139" s="16">
        <f>IF(F139&lt;'Manager''s Page'!$B$11,'Manager''s Page'!$B$14,0)</f>
        <v>0</v>
      </c>
      <c r="I139" s="17" cm="1">
        <f t="array" ref="I139">_xlfn.IFS(H139&lt;Constant!$A$3,0,H139&lt;Constant!$A$4,375,H139&lt;Constant!$A$5,275,H139&lt;Constant!$A$6,175)</f>
        <v>0</v>
      </c>
      <c r="J139" s="16">
        <f t="shared" si="19"/>
        <v>703</v>
      </c>
      <c r="K139" s="16">
        <f t="shared" si="20"/>
        <v>4297</v>
      </c>
      <c r="L139" s="14">
        <f t="shared" si="21"/>
        <v>703</v>
      </c>
      <c r="M139" s="44">
        <f t="shared" si="22"/>
        <v>4297</v>
      </c>
    </row>
    <row r="140" spans="1:13" x14ac:dyDescent="0.25">
      <c r="A140" s="14">
        <f>'Manager''s Page'!H140</f>
        <v>138</v>
      </c>
      <c r="B140" s="15">
        <f t="shared" si="23"/>
        <v>4297</v>
      </c>
      <c r="C140" s="16">
        <f>'Manager''s Page'!I140</f>
        <v>359</v>
      </c>
      <c r="D140" s="16">
        <f t="shared" si="16"/>
        <v>359</v>
      </c>
      <c r="E140" s="16">
        <f t="shared" si="17"/>
        <v>0</v>
      </c>
      <c r="F140" s="16">
        <f t="shared" si="18"/>
        <v>3938</v>
      </c>
      <c r="G140" s="17">
        <f>F140*(Constant!$B$11/365)</f>
        <v>289.14630136986307</v>
      </c>
      <c r="H140" s="16">
        <f>IF(F140&lt;'Manager''s Page'!$B$11,'Manager''s Page'!$B$14,0)</f>
        <v>0</v>
      </c>
      <c r="I140" s="17" cm="1">
        <f t="array" ref="I140">_xlfn.IFS(H140&lt;Constant!$A$3,0,H140&lt;Constant!$A$4,375,H140&lt;Constant!$A$5,275,H140&lt;Constant!$A$6,175)</f>
        <v>0</v>
      </c>
      <c r="J140" s="16">
        <f t="shared" si="19"/>
        <v>359</v>
      </c>
      <c r="K140" s="16">
        <f t="shared" si="20"/>
        <v>3938</v>
      </c>
      <c r="L140" s="14">
        <f t="shared" si="21"/>
        <v>359</v>
      </c>
      <c r="M140" s="44">
        <f t="shared" si="22"/>
        <v>3938</v>
      </c>
    </row>
    <row r="141" spans="1:13" x14ac:dyDescent="0.25">
      <c r="A141" s="14">
        <f>'Manager''s Page'!H141</f>
        <v>139</v>
      </c>
      <c r="B141" s="15">
        <f t="shared" si="23"/>
        <v>3938</v>
      </c>
      <c r="C141" s="16">
        <f>'Manager''s Page'!I141</f>
        <v>313</v>
      </c>
      <c r="D141" s="16">
        <f t="shared" si="16"/>
        <v>313</v>
      </c>
      <c r="E141" s="16">
        <f t="shared" si="17"/>
        <v>0</v>
      </c>
      <c r="F141" s="16">
        <f t="shared" si="18"/>
        <v>3625</v>
      </c>
      <c r="G141" s="17">
        <f>F141*(Constant!$B$11/365)</f>
        <v>266.16438356164383</v>
      </c>
      <c r="H141" s="16">
        <f>IF(F141&lt;'Manager''s Page'!$B$11,'Manager''s Page'!$B$14,0)</f>
        <v>0</v>
      </c>
      <c r="I141" s="17" cm="1">
        <f t="array" ref="I141">_xlfn.IFS(H141&lt;Constant!$A$3,0,H141&lt;Constant!$A$4,375,H141&lt;Constant!$A$5,275,H141&lt;Constant!$A$6,175)</f>
        <v>0</v>
      </c>
      <c r="J141" s="16">
        <f t="shared" si="19"/>
        <v>313</v>
      </c>
      <c r="K141" s="16">
        <f t="shared" si="20"/>
        <v>3625</v>
      </c>
      <c r="L141" s="14">
        <f t="shared" si="21"/>
        <v>313</v>
      </c>
      <c r="M141" s="44">
        <f t="shared" si="22"/>
        <v>3625</v>
      </c>
    </row>
    <row r="142" spans="1:13" x14ac:dyDescent="0.25">
      <c r="A142" s="14">
        <f>'Manager''s Page'!H142</f>
        <v>140</v>
      </c>
      <c r="B142" s="15">
        <f t="shared" si="23"/>
        <v>3625</v>
      </c>
      <c r="C142" s="16">
        <f>'Manager''s Page'!I142</f>
        <v>814</v>
      </c>
      <c r="D142" s="16">
        <f t="shared" si="16"/>
        <v>814</v>
      </c>
      <c r="E142" s="16">
        <f t="shared" si="17"/>
        <v>0</v>
      </c>
      <c r="F142" s="16">
        <f t="shared" si="18"/>
        <v>2811</v>
      </c>
      <c r="G142" s="17">
        <f>F142*(Constant!$B$11/365)</f>
        <v>206.39671232876714</v>
      </c>
      <c r="H142" s="16">
        <f>IF(F142&lt;'Manager''s Page'!$B$11,'Manager''s Page'!$B$14,0)</f>
        <v>0</v>
      </c>
      <c r="I142" s="17" cm="1">
        <f t="array" ref="I142">_xlfn.IFS(H142&lt;Constant!$A$3,0,H142&lt;Constant!$A$4,375,H142&lt;Constant!$A$5,275,H142&lt;Constant!$A$6,175)</f>
        <v>0</v>
      </c>
      <c r="J142" s="16">
        <f t="shared" si="19"/>
        <v>814</v>
      </c>
      <c r="K142" s="16">
        <f t="shared" si="20"/>
        <v>2811</v>
      </c>
      <c r="L142" s="14">
        <f t="shared" si="21"/>
        <v>814</v>
      </c>
      <c r="M142" s="44">
        <f t="shared" si="22"/>
        <v>2811</v>
      </c>
    </row>
    <row r="143" spans="1:13" x14ac:dyDescent="0.25">
      <c r="A143" s="14">
        <f>'Manager''s Page'!H143</f>
        <v>141</v>
      </c>
      <c r="B143" s="15">
        <f t="shared" si="23"/>
        <v>2811</v>
      </c>
      <c r="C143" s="16">
        <f>'Manager''s Page'!I143</f>
        <v>947</v>
      </c>
      <c r="D143" s="16">
        <f t="shared" si="16"/>
        <v>947</v>
      </c>
      <c r="E143" s="16">
        <f t="shared" si="17"/>
        <v>0</v>
      </c>
      <c r="F143" s="16">
        <f t="shared" si="18"/>
        <v>1864</v>
      </c>
      <c r="G143" s="17">
        <f>F143*(Constant!$B$11/365)</f>
        <v>136.86356164383562</v>
      </c>
      <c r="H143" s="16">
        <f>IF(F143&lt;'Manager''s Page'!$B$11,'Manager''s Page'!$B$14,0)</f>
        <v>0</v>
      </c>
      <c r="I143" s="17" cm="1">
        <f t="array" ref="I143">_xlfn.IFS(H143&lt;Constant!$A$3,0,H143&lt;Constant!$A$4,375,H143&lt;Constant!$A$5,275,H143&lt;Constant!$A$6,175)</f>
        <v>0</v>
      </c>
      <c r="J143" s="16">
        <f t="shared" si="19"/>
        <v>947</v>
      </c>
      <c r="K143" s="16">
        <f t="shared" si="20"/>
        <v>1864</v>
      </c>
      <c r="L143" s="14">
        <f t="shared" si="21"/>
        <v>947</v>
      </c>
      <c r="M143" s="44">
        <f t="shared" si="22"/>
        <v>1864</v>
      </c>
    </row>
    <row r="144" spans="1:13" x14ac:dyDescent="0.25">
      <c r="A144" s="14">
        <f>'Manager''s Page'!H144</f>
        <v>142</v>
      </c>
      <c r="B144" s="15">
        <f t="shared" si="23"/>
        <v>1864</v>
      </c>
      <c r="C144" s="16">
        <f>'Manager''s Page'!I144</f>
        <v>314</v>
      </c>
      <c r="D144" s="16">
        <f t="shared" si="16"/>
        <v>314</v>
      </c>
      <c r="E144" s="16">
        <f t="shared" si="17"/>
        <v>0</v>
      </c>
      <c r="F144" s="16">
        <f t="shared" si="18"/>
        <v>1550</v>
      </c>
      <c r="G144" s="17">
        <f>F144*(Constant!$B$11/365)</f>
        <v>113.8082191780822</v>
      </c>
      <c r="H144" s="16">
        <f>IF(F144&lt;'Manager''s Page'!$B$11,'Manager''s Page'!$B$14,0)</f>
        <v>0</v>
      </c>
      <c r="I144" s="17" cm="1">
        <f t="array" ref="I144">_xlfn.IFS(H144&lt;Constant!$A$3,0,H144&lt;Constant!$A$4,375,H144&lt;Constant!$A$5,275,H144&lt;Constant!$A$6,175)</f>
        <v>0</v>
      </c>
      <c r="J144" s="16">
        <f t="shared" si="19"/>
        <v>314</v>
      </c>
      <c r="K144" s="16">
        <f t="shared" si="20"/>
        <v>1550</v>
      </c>
      <c r="L144" s="14">
        <f t="shared" si="21"/>
        <v>314</v>
      </c>
      <c r="M144" s="44">
        <f t="shared" si="22"/>
        <v>1550</v>
      </c>
    </row>
    <row r="145" spans="1:13" x14ac:dyDescent="0.25">
      <c r="A145" s="14">
        <f>'Manager''s Page'!H145</f>
        <v>143</v>
      </c>
      <c r="B145" s="15">
        <f t="shared" si="23"/>
        <v>1550</v>
      </c>
      <c r="C145" s="16">
        <f>'Manager''s Page'!I145</f>
        <v>178</v>
      </c>
      <c r="D145" s="16">
        <f t="shared" si="16"/>
        <v>178</v>
      </c>
      <c r="E145" s="16">
        <f t="shared" si="17"/>
        <v>0</v>
      </c>
      <c r="F145" s="16">
        <f t="shared" si="18"/>
        <v>1372</v>
      </c>
      <c r="G145" s="17">
        <f>F145*(Constant!$B$11/365)</f>
        <v>100.73863013698632</v>
      </c>
      <c r="H145" s="16">
        <f>IF(F145&lt;'Manager''s Page'!$B$11,'Manager''s Page'!$B$14,0)</f>
        <v>0</v>
      </c>
      <c r="I145" s="17" cm="1">
        <f t="array" ref="I145">_xlfn.IFS(H145&lt;Constant!$A$3,0,H145&lt;Constant!$A$4,375,H145&lt;Constant!$A$5,275,H145&lt;Constant!$A$6,175)</f>
        <v>0</v>
      </c>
      <c r="J145" s="16">
        <f t="shared" si="19"/>
        <v>178</v>
      </c>
      <c r="K145" s="16">
        <f t="shared" si="20"/>
        <v>1372</v>
      </c>
      <c r="L145" s="14">
        <f t="shared" si="21"/>
        <v>178</v>
      </c>
      <c r="M145" s="44">
        <f t="shared" si="22"/>
        <v>1372</v>
      </c>
    </row>
    <row r="146" spans="1:13" x14ac:dyDescent="0.25">
      <c r="A146" s="14">
        <f>'Manager''s Page'!H146</f>
        <v>144</v>
      </c>
      <c r="B146" s="15">
        <f t="shared" si="23"/>
        <v>1372</v>
      </c>
      <c r="C146" s="16">
        <f>'Manager''s Page'!I146</f>
        <v>738</v>
      </c>
      <c r="D146" s="16">
        <f t="shared" si="16"/>
        <v>738</v>
      </c>
      <c r="E146" s="16">
        <f t="shared" si="17"/>
        <v>0</v>
      </c>
      <c r="F146" s="16">
        <f t="shared" si="18"/>
        <v>634</v>
      </c>
      <c r="G146" s="17">
        <f>F146*(Constant!$B$11/365)</f>
        <v>46.551232876712334</v>
      </c>
      <c r="H146" s="16">
        <f>IF(F146&lt;'Manager''s Page'!$B$11,'Manager''s Page'!$B$14,0)</f>
        <v>0</v>
      </c>
      <c r="I146" s="17" cm="1">
        <f t="array" ref="I146">_xlfn.IFS(H146&lt;Constant!$A$3,0,H146&lt;Constant!$A$4,375,H146&lt;Constant!$A$5,275,H146&lt;Constant!$A$6,175)</f>
        <v>0</v>
      </c>
      <c r="J146" s="16">
        <f t="shared" si="19"/>
        <v>738</v>
      </c>
      <c r="K146" s="16">
        <f t="shared" si="20"/>
        <v>634</v>
      </c>
      <c r="L146" s="14">
        <f t="shared" si="21"/>
        <v>738</v>
      </c>
      <c r="M146" s="44">
        <f t="shared" si="22"/>
        <v>634</v>
      </c>
    </row>
    <row r="147" spans="1:13" x14ac:dyDescent="0.25">
      <c r="A147" s="14">
        <f>'Manager''s Page'!H147</f>
        <v>145</v>
      </c>
      <c r="B147" s="15">
        <f t="shared" si="23"/>
        <v>634</v>
      </c>
      <c r="C147" s="16">
        <f>'Manager''s Page'!I147</f>
        <v>521</v>
      </c>
      <c r="D147" s="16">
        <f t="shared" si="16"/>
        <v>521</v>
      </c>
      <c r="E147" s="16">
        <f t="shared" si="17"/>
        <v>0</v>
      </c>
      <c r="F147" s="16">
        <f t="shared" si="18"/>
        <v>113</v>
      </c>
      <c r="G147" s="17">
        <f>F147*(Constant!$B$11/365)</f>
        <v>8.2969863013698646</v>
      </c>
      <c r="H147" s="16">
        <f>IF(F147&lt;'Manager''s Page'!$B$11,'Manager''s Page'!$B$14,0)</f>
        <v>5000</v>
      </c>
      <c r="I147" s="17" cm="1">
        <f t="array" ref="I147">_xlfn.IFS(H147&lt;Constant!$A$3,0,H147&lt;Constant!$A$4,375,H147&lt;Constant!$A$5,275,H147&lt;Constant!$A$6,175)</f>
        <v>275</v>
      </c>
      <c r="J147" s="16">
        <f t="shared" si="19"/>
        <v>521</v>
      </c>
      <c r="K147" s="16">
        <f t="shared" si="20"/>
        <v>113</v>
      </c>
      <c r="L147" s="14">
        <f t="shared" si="21"/>
        <v>521</v>
      </c>
      <c r="M147" s="44">
        <f t="shared" si="22"/>
        <v>113</v>
      </c>
    </row>
    <row r="148" spans="1:13" x14ac:dyDescent="0.25">
      <c r="A148" s="14">
        <f>'Manager''s Page'!H148</f>
        <v>146</v>
      </c>
      <c r="B148" s="15">
        <f t="shared" si="23"/>
        <v>5113</v>
      </c>
      <c r="C148" s="16">
        <f>'Manager''s Page'!I148</f>
        <v>497</v>
      </c>
      <c r="D148" s="16">
        <f t="shared" si="16"/>
        <v>497</v>
      </c>
      <c r="E148" s="16">
        <f t="shared" si="17"/>
        <v>0</v>
      </c>
      <c r="F148" s="16">
        <f t="shared" si="18"/>
        <v>4616</v>
      </c>
      <c r="G148" s="17">
        <f>F148*(Constant!$B$11/365)</f>
        <v>338.9282191780822</v>
      </c>
      <c r="H148" s="16">
        <f>IF(F148&lt;'Manager''s Page'!$B$11,'Manager''s Page'!$B$14,0)</f>
        <v>0</v>
      </c>
      <c r="I148" s="17" cm="1">
        <f t="array" ref="I148">_xlfn.IFS(H148&lt;Constant!$A$3,0,H148&lt;Constant!$A$4,375,H148&lt;Constant!$A$5,275,H148&lt;Constant!$A$6,175)</f>
        <v>0</v>
      </c>
      <c r="J148" s="16">
        <f t="shared" si="19"/>
        <v>497</v>
      </c>
      <c r="K148" s="16">
        <f t="shared" si="20"/>
        <v>4616</v>
      </c>
      <c r="L148" s="14">
        <f t="shared" si="21"/>
        <v>497</v>
      </c>
      <c r="M148" s="44">
        <f t="shared" si="22"/>
        <v>4616</v>
      </c>
    </row>
    <row r="149" spans="1:13" x14ac:dyDescent="0.25">
      <c r="A149" s="14">
        <f>'Manager''s Page'!H149</f>
        <v>147</v>
      </c>
      <c r="B149" s="15">
        <f t="shared" si="23"/>
        <v>4616</v>
      </c>
      <c r="C149" s="16">
        <f>'Manager''s Page'!I149</f>
        <v>451</v>
      </c>
      <c r="D149" s="16">
        <f t="shared" si="16"/>
        <v>451</v>
      </c>
      <c r="E149" s="16">
        <f t="shared" si="17"/>
        <v>0</v>
      </c>
      <c r="F149" s="16">
        <f t="shared" si="18"/>
        <v>4165</v>
      </c>
      <c r="G149" s="17">
        <f>F149*(Constant!$B$11/365)</f>
        <v>305.81369863013703</v>
      </c>
      <c r="H149" s="16">
        <f>IF(F149&lt;'Manager''s Page'!$B$11,'Manager''s Page'!$B$14,0)</f>
        <v>0</v>
      </c>
      <c r="I149" s="17" cm="1">
        <f t="array" ref="I149">_xlfn.IFS(H149&lt;Constant!$A$3,0,H149&lt;Constant!$A$4,375,H149&lt;Constant!$A$5,275,H149&lt;Constant!$A$6,175)</f>
        <v>0</v>
      </c>
      <c r="J149" s="16">
        <f t="shared" si="19"/>
        <v>451</v>
      </c>
      <c r="K149" s="16">
        <f t="shared" si="20"/>
        <v>4165</v>
      </c>
      <c r="L149" s="14">
        <f t="shared" si="21"/>
        <v>451</v>
      </c>
      <c r="M149" s="44">
        <f t="shared" si="22"/>
        <v>4165</v>
      </c>
    </row>
    <row r="150" spans="1:13" x14ac:dyDescent="0.25">
      <c r="A150" s="14">
        <f>'Manager''s Page'!H150</f>
        <v>148</v>
      </c>
      <c r="B150" s="15">
        <f t="shared" si="23"/>
        <v>4165</v>
      </c>
      <c r="C150" s="16">
        <f>'Manager''s Page'!I150</f>
        <v>542</v>
      </c>
      <c r="D150" s="16">
        <f t="shared" si="16"/>
        <v>542</v>
      </c>
      <c r="E150" s="16">
        <f t="shared" si="17"/>
        <v>0</v>
      </c>
      <c r="F150" s="16">
        <f t="shared" si="18"/>
        <v>3623</v>
      </c>
      <c r="G150" s="17">
        <f>F150*(Constant!$B$11/365)</f>
        <v>266.01753424657539</v>
      </c>
      <c r="H150" s="16">
        <f>IF(F150&lt;'Manager''s Page'!$B$11,'Manager''s Page'!$B$14,0)</f>
        <v>0</v>
      </c>
      <c r="I150" s="17" cm="1">
        <f t="array" ref="I150">_xlfn.IFS(H150&lt;Constant!$A$3,0,H150&lt;Constant!$A$4,375,H150&lt;Constant!$A$5,275,H150&lt;Constant!$A$6,175)</f>
        <v>0</v>
      </c>
      <c r="J150" s="16">
        <f t="shared" si="19"/>
        <v>542</v>
      </c>
      <c r="K150" s="16">
        <f t="shared" si="20"/>
        <v>3623</v>
      </c>
      <c r="L150" s="14">
        <f t="shared" si="21"/>
        <v>542</v>
      </c>
      <c r="M150" s="44">
        <f t="shared" si="22"/>
        <v>3623</v>
      </c>
    </row>
    <row r="151" spans="1:13" x14ac:dyDescent="0.25">
      <c r="A151" s="14">
        <f>'Manager''s Page'!H151</f>
        <v>149</v>
      </c>
      <c r="B151" s="15">
        <f t="shared" si="23"/>
        <v>3623</v>
      </c>
      <c r="C151" s="16">
        <f>'Manager''s Page'!I151</f>
        <v>943</v>
      </c>
      <c r="D151" s="16">
        <f t="shared" si="16"/>
        <v>943</v>
      </c>
      <c r="E151" s="16">
        <f t="shared" si="17"/>
        <v>0</v>
      </c>
      <c r="F151" s="16">
        <f t="shared" si="18"/>
        <v>2680</v>
      </c>
      <c r="G151" s="17">
        <f>F151*(Constant!$B$11/365)</f>
        <v>196.77808219178084</v>
      </c>
      <c r="H151" s="16">
        <f>IF(F151&lt;'Manager''s Page'!$B$11,'Manager''s Page'!$B$14,0)</f>
        <v>0</v>
      </c>
      <c r="I151" s="17" cm="1">
        <f t="array" ref="I151">_xlfn.IFS(H151&lt;Constant!$A$3,0,H151&lt;Constant!$A$4,375,H151&lt;Constant!$A$5,275,H151&lt;Constant!$A$6,175)</f>
        <v>0</v>
      </c>
      <c r="J151" s="16">
        <f t="shared" si="19"/>
        <v>943</v>
      </c>
      <c r="K151" s="16">
        <f t="shared" si="20"/>
        <v>2680</v>
      </c>
      <c r="L151" s="14">
        <f t="shared" si="21"/>
        <v>943</v>
      </c>
      <c r="M151" s="44">
        <f t="shared" si="22"/>
        <v>2680</v>
      </c>
    </row>
    <row r="152" spans="1:13" x14ac:dyDescent="0.25">
      <c r="A152" s="14">
        <f>'Manager''s Page'!H152</f>
        <v>150</v>
      </c>
      <c r="B152" s="15">
        <f t="shared" si="23"/>
        <v>2680</v>
      </c>
      <c r="C152" s="16">
        <f>'Manager''s Page'!I152</f>
        <v>435</v>
      </c>
      <c r="D152" s="16">
        <f t="shared" si="16"/>
        <v>435</v>
      </c>
      <c r="E152" s="16">
        <f t="shared" si="17"/>
        <v>0</v>
      </c>
      <c r="F152" s="16">
        <f t="shared" si="18"/>
        <v>2245</v>
      </c>
      <c r="G152" s="17">
        <f>F152*(Constant!$B$11/365)</f>
        <v>164.83835616438358</v>
      </c>
      <c r="H152" s="16">
        <f>IF(F152&lt;'Manager''s Page'!$B$11,'Manager''s Page'!$B$14,0)</f>
        <v>0</v>
      </c>
      <c r="I152" s="17" cm="1">
        <f t="array" ref="I152">_xlfn.IFS(H152&lt;Constant!$A$3,0,H152&lt;Constant!$A$4,375,H152&lt;Constant!$A$5,275,H152&lt;Constant!$A$6,175)</f>
        <v>0</v>
      </c>
      <c r="J152" s="16">
        <f t="shared" si="19"/>
        <v>435</v>
      </c>
      <c r="K152" s="16">
        <f t="shared" si="20"/>
        <v>2245</v>
      </c>
      <c r="L152" s="14">
        <f t="shared" si="21"/>
        <v>435</v>
      </c>
      <c r="M152" s="44">
        <f t="shared" si="22"/>
        <v>2245</v>
      </c>
    </row>
    <row r="153" spans="1:13" x14ac:dyDescent="0.25">
      <c r="A153" s="14">
        <f>'Manager''s Page'!H153</f>
        <v>151</v>
      </c>
      <c r="B153" s="15">
        <f t="shared" si="23"/>
        <v>2245</v>
      </c>
      <c r="C153" s="16">
        <f>'Manager''s Page'!I153</f>
        <v>377</v>
      </c>
      <c r="D153" s="16">
        <f t="shared" si="16"/>
        <v>377</v>
      </c>
      <c r="E153" s="16">
        <f t="shared" si="17"/>
        <v>0</v>
      </c>
      <c r="F153" s="16">
        <f t="shared" si="18"/>
        <v>1868</v>
      </c>
      <c r="G153" s="17">
        <f>F153*(Constant!$B$11/365)</f>
        <v>137.15726027397261</v>
      </c>
      <c r="H153" s="16">
        <f>IF(F153&lt;'Manager''s Page'!$B$11,'Manager''s Page'!$B$14,0)</f>
        <v>0</v>
      </c>
      <c r="I153" s="17" cm="1">
        <f t="array" ref="I153">_xlfn.IFS(H153&lt;Constant!$A$3,0,H153&lt;Constant!$A$4,375,H153&lt;Constant!$A$5,275,H153&lt;Constant!$A$6,175)</f>
        <v>0</v>
      </c>
      <c r="J153" s="16">
        <f t="shared" si="19"/>
        <v>377</v>
      </c>
      <c r="K153" s="16">
        <f t="shared" si="20"/>
        <v>1868</v>
      </c>
      <c r="L153" s="14">
        <f t="shared" si="21"/>
        <v>377</v>
      </c>
      <c r="M153" s="44">
        <f t="shared" si="22"/>
        <v>1868</v>
      </c>
    </row>
    <row r="154" spans="1:13" x14ac:dyDescent="0.25">
      <c r="A154" s="14">
        <f>'Manager''s Page'!H154</f>
        <v>152</v>
      </c>
      <c r="B154" s="15">
        <f t="shared" si="23"/>
        <v>1868</v>
      </c>
      <c r="C154" s="16">
        <f>'Manager''s Page'!I154</f>
        <v>851</v>
      </c>
      <c r="D154" s="16">
        <f t="shared" si="16"/>
        <v>851</v>
      </c>
      <c r="E154" s="16">
        <f t="shared" si="17"/>
        <v>0</v>
      </c>
      <c r="F154" s="16">
        <f t="shared" si="18"/>
        <v>1017</v>
      </c>
      <c r="G154" s="17">
        <f>F154*(Constant!$B$11/365)</f>
        <v>74.672876712328772</v>
      </c>
      <c r="H154" s="16">
        <f>IF(F154&lt;'Manager''s Page'!$B$11,'Manager''s Page'!$B$14,0)</f>
        <v>0</v>
      </c>
      <c r="I154" s="17" cm="1">
        <f t="array" ref="I154">_xlfn.IFS(H154&lt;Constant!$A$3,0,H154&lt;Constant!$A$4,375,H154&lt;Constant!$A$5,275,H154&lt;Constant!$A$6,175)</f>
        <v>0</v>
      </c>
      <c r="J154" s="16">
        <f t="shared" si="19"/>
        <v>851</v>
      </c>
      <c r="K154" s="16">
        <f t="shared" si="20"/>
        <v>1017</v>
      </c>
      <c r="L154" s="14">
        <f t="shared" si="21"/>
        <v>851</v>
      </c>
      <c r="M154" s="44">
        <f t="shared" si="22"/>
        <v>1017</v>
      </c>
    </row>
    <row r="155" spans="1:13" x14ac:dyDescent="0.25">
      <c r="A155" s="14">
        <f>'Manager''s Page'!H155</f>
        <v>153</v>
      </c>
      <c r="B155" s="15">
        <f t="shared" si="23"/>
        <v>1017</v>
      </c>
      <c r="C155" s="16">
        <f>'Manager''s Page'!I155</f>
        <v>370</v>
      </c>
      <c r="D155" s="16">
        <f t="shared" si="16"/>
        <v>370</v>
      </c>
      <c r="E155" s="16">
        <f t="shared" si="17"/>
        <v>0</v>
      </c>
      <c r="F155" s="16">
        <f t="shared" si="18"/>
        <v>647</v>
      </c>
      <c r="G155" s="17">
        <f>F155*(Constant!$B$11/365)</f>
        <v>47.505753424657541</v>
      </c>
      <c r="H155" s="16">
        <f>IF(F155&lt;'Manager''s Page'!$B$11,'Manager''s Page'!$B$14,0)</f>
        <v>0</v>
      </c>
      <c r="I155" s="17" cm="1">
        <f t="array" ref="I155">_xlfn.IFS(H155&lt;Constant!$A$3,0,H155&lt;Constant!$A$4,375,H155&lt;Constant!$A$5,275,H155&lt;Constant!$A$6,175)</f>
        <v>0</v>
      </c>
      <c r="J155" s="16">
        <f t="shared" si="19"/>
        <v>370</v>
      </c>
      <c r="K155" s="16">
        <f t="shared" si="20"/>
        <v>647</v>
      </c>
      <c r="L155" s="14">
        <f t="shared" si="21"/>
        <v>370</v>
      </c>
      <c r="M155" s="44">
        <f t="shared" si="22"/>
        <v>647</v>
      </c>
    </row>
    <row r="156" spans="1:13" x14ac:dyDescent="0.25">
      <c r="A156" s="14">
        <f>'Manager''s Page'!H156</f>
        <v>154</v>
      </c>
      <c r="B156" s="15">
        <f t="shared" si="23"/>
        <v>647</v>
      </c>
      <c r="C156" s="16">
        <f>'Manager''s Page'!I156</f>
        <v>779</v>
      </c>
      <c r="D156" s="16">
        <f t="shared" si="16"/>
        <v>647</v>
      </c>
      <c r="E156" s="16">
        <f t="shared" si="17"/>
        <v>132</v>
      </c>
      <c r="F156" s="16">
        <f t="shared" si="18"/>
        <v>0</v>
      </c>
      <c r="G156" s="17">
        <f>F156*(Constant!$B$11/365)</f>
        <v>0</v>
      </c>
      <c r="H156" s="16">
        <f>IF(F156&lt;'Manager''s Page'!$B$11,'Manager''s Page'!$B$14,0)</f>
        <v>5000</v>
      </c>
      <c r="I156" s="17" cm="1">
        <f t="array" ref="I156">_xlfn.IFS(H156&lt;Constant!$A$3,0,H156&lt;Constant!$A$4,375,H156&lt;Constant!$A$5,275,H156&lt;Constant!$A$6,175)</f>
        <v>275</v>
      </c>
      <c r="J156" s="16">
        <f t="shared" si="19"/>
        <v>779</v>
      </c>
      <c r="K156" s="16">
        <f t="shared" si="20"/>
        <v>0</v>
      </c>
      <c r="L156" s="14">
        <f t="shared" si="21"/>
        <v>779</v>
      </c>
      <c r="M156" s="44">
        <f t="shared" si="22"/>
        <v>0</v>
      </c>
    </row>
    <row r="157" spans="1:13" x14ac:dyDescent="0.25">
      <c r="A157" s="14">
        <f>'Manager''s Page'!H157</f>
        <v>155</v>
      </c>
      <c r="B157" s="15">
        <f t="shared" si="23"/>
        <v>5000</v>
      </c>
      <c r="C157" s="16">
        <f>'Manager''s Page'!I157</f>
        <v>372</v>
      </c>
      <c r="D157" s="16">
        <f t="shared" si="16"/>
        <v>372</v>
      </c>
      <c r="E157" s="16">
        <f t="shared" si="17"/>
        <v>0</v>
      </c>
      <c r="F157" s="16">
        <f t="shared" si="18"/>
        <v>4628</v>
      </c>
      <c r="G157" s="17">
        <f>F157*(Constant!$B$11/365)</f>
        <v>339.80931506849316</v>
      </c>
      <c r="H157" s="16">
        <f>IF(F157&lt;'Manager''s Page'!$B$11,'Manager''s Page'!$B$14,0)</f>
        <v>0</v>
      </c>
      <c r="I157" s="17" cm="1">
        <f t="array" ref="I157">_xlfn.IFS(H157&lt;Constant!$A$3,0,H157&lt;Constant!$A$4,375,H157&lt;Constant!$A$5,275,H157&lt;Constant!$A$6,175)</f>
        <v>0</v>
      </c>
      <c r="J157" s="16">
        <f t="shared" si="19"/>
        <v>372</v>
      </c>
      <c r="K157" s="16">
        <f t="shared" si="20"/>
        <v>4628</v>
      </c>
      <c r="L157" s="14">
        <f t="shared" si="21"/>
        <v>372</v>
      </c>
      <c r="M157" s="44">
        <f t="shared" si="22"/>
        <v>4628</v>
      </c>
    </row>
    <row r="158" spans="1:13" x14ac:dyDescent="0.25">
      <c r="A158" s="14">
        <f>'Manager''s Page'!H158</f>
        <v>156</v>
      </c>
      <c r="B158" s="15">
        <f t="shared" si="23"/>
        <v>4628</v>
      </c>
      <c r="C158" s="16">
        <f>'Manager''s Page'!I158</f>
        <v>456</v>
      </c>
      <c r="D158" s="16">
        <f t="shared" si="16"/>
        <v>456</v>
      </c>
      <c r="E158" s="16">
        <f t="shared" si="17"/>
        <v>0</v>
      </c>
      <c r="F158" s="16">
        <f t="shared" si="18"/>
        <v>4172</v>
      </c>
      <c r="G158" s="17">
        <f>F158*(Constant!$B$11/365)</f>
        <v>306.32767123287675</v>
      </c>
      <c r="H158" s="16">
        <f>IF(F158&lt;'Manager''s Page'!$B$11,'Manager''s Page'!$B$14,0)</f>
        <v>0</v>
      </c>
      <c r="I158" s="17" cm="1">
        <f t="array" ref="I158">_xlfn.IFS(H158&lt;Constant!$A$3,0,H158&lt;Constant!$A$4,375,H158&lt;Constant!$A$5,275,H158&lt;Constant!$A$6,175)</f>
        <v>0</v>
      </c>
      <c r="J158" s="16">
        <f t="shared" si="19"/>
        <v>456</v>
      </c>
      <c r="K158" s="16">
        <f t="shared" si="20"/>
        <v>4172</v>
      </c>
      <c r="L158" s="14">
        <f t="shared" si="21"/>
        <v>456</v>
      </c>
      <c r="M158" s="44">
        <f t="shared" si="22"/>
        <v>4172</v>
      </c>
    </row>
    <row r="159" spans="1:13" x14ac:dyDescent="0.25">
      <c r="A159" s="14">
        <f>'Manager''s Page'!H159</f>
        <v>157</v>
      </c>
      <c r="B159" s="15">
        <f t="shared" si="23"/>
        <v>4172</v>
      </c>
      <c r="C159" s="16">
        <f>'Manager''s Page'!I159</f>
        <v>260</v>
      </c>
      <c r="D159" s="16">
        <f t="shared" si="16"/>
        <v>260</v>
      </c>
      <c r="E159" s="16">
        <f t="shared" si="17"/>
        <v>0</v>
      </c>
      <c r="F159" s="16">
        <f t="shared" si="18"/>
        <v>3912</v>
      </c>
      <c r="G159" s="17">
        <f>F159*(Constant!$B$11/365)</f>
        <v>287.23726027397265</v>
      </c>
      <c r="H159" s="16">
        <f>IF(F159&lt;'Manager''s Page'!$B$11,'Manager''s Page'!$B$14,0)</f>
        <v>0</v>
      </c>
      <c r="I159" s="17" cm="1">
        <f t="array" ref="I159">_xlfn.IFS(H159&lt;Constant!$A$3,0,H159&lt;Constant!$A$4,375,H159&lt;Constant!$A$5,275,H159&lt;Constant!$A$6,175)</f>
        <v>0</v>
      </c>
      <c r="J159" s="16">
        <f t="shared" si="19"/>
        <v>260</v>
      </c>
      <c r="K159" s="16">
        <f t="shared" si="20"/>
        <v>3912</v>
      </c>
      <c r="L159" s="14">
        <f t="shared" si="21"/>
        <v>260</v>
      </c>
      <c r="M159" s="44">
        <f t="shared" si="22"/>
        <v>3912</v>
      </c>
    </row>
    <row r="160" spans="1:13" x14ac:dyDescent="0.25">
      <c r="A160" s="14">
        <f>'Manager''s Page'!H160</f>
        <v>158</v>
      </c>
      <c r="B160" s="15">
        <f t="shared" si="23"/>
        <v>3912</v>
      </c>
      <c r="C160" s="16">
        <f>'Manager''s Page'!I160</f>
        <v>866</v>
      </c>
      <c r="D160" s="16">
        <f t="shared" si="16"/>
        <v>866</v>
      </c>
      <c r="E160" s="16">
        <f t="shared" si="17"/>
        <v>0</v>
      </c>
      <c r="F160" s="16">
        <f t="shared" si="18"/>
        <v>3046</v>
      </c>
      <c r="G160" s="17">
        <f>F160*(Constant!$B$11/365)</f>
        <v>223.6515068493151</v>
      </c>
      <c r="H160" s="16">
        <f>IF(F160&lt;'Manager''s Page'!$B$11,'Manager''s Page'!$B$14,0)</f>
        <v>0</v>
      </c>
      <c r="I160" s="17" cm="1">
        <f t="array" ref="I160">_xlfn.IFS(H160&lt;Constant!$A$3,0,H160&lt;Constant!$A$4,375,H160&lt;Constant!$A$5,275,H160&lt;Constant!$A$6,175)</f>
        <v>0</v>
      </c>
      <c r="J160" s="16">
        <f t="shared" si="19"/>
        <v>866</v>
      </c>
      <c r="K160" s="16">
        <f t="shared" si="20"/>
        <v>3046</v>
      </c>
      <c r="L160" s="14">
        <f t="shared" si="21"/>
        <v>866</v>
      </c>
      <c r="M160" s="44">
        <f t="shared" si="22"/>
        <v>3046</v>
      </c>
    </row>
    <row r="161" spans="1:13" x14ac:dyDescent="0.25">
      <c r="A161" s="14">
        <f>'Manager''s Page'!H161</f>
        <v>159</v>
      </c>
      <c r="B161" s="15">
        <f t="shared" si="23"/>
        <v>3046</v>
      </c>
      <c r="C161" s="16">
        <f>'Manager''s Page'!I161</f>
        <v>636</v>
      </c>
      <c r="D161" s="16">
        <f t="shared" si="16"/>
        <v>636</v>
      </c>
      <c r="E161" s="16">
        <f t="shared" si="17"/>
        <v>0</v>
      </c>
      <c r="F161" s="16">
        <f t="shared" si="18"/>
        <v>2410</v>
      </c>
      <c r="G161" s="17">
        <f>F161*(Constant!$B$11/365)</f>
        <v>176.95342465753427</v>
      </c>
      <c r="H161" s="16">
        <f>IF(F161&lt;'Manager''s Page'!$B$11,'Manager''s Page'!$B$14,0)</f>
        <v>0</v>
      </c>
      <c r="I161" s="17" cm="1">
        <f t="array" ref="I161">_xlfn.IFS(H161&lt;Constant!$A$3,0,H161&lt;Constant!$A$4,375,H161&lt;Constant!$A$5,275,H161&lt;Constant!$A$6,175)</f>
        <v>0</v>
      </c>
      <c r="J161" s="16">
        <f t="shared" si="19"/>
        <v>636</v>
      </c>
      <c r="K161" s="16">
        <f t="shared" si="20"/>
        <v>2410</v>
      </c>
      <c r="L161" s="14">
        <f t="shared" si="21"/>
        <v>636</v>
      </c>
      <c r="M161" s="44">
        <f t="shared" si="22"/>
        <v>2410</v>
      </c>
    </row>
    <row r="162" spans="1:13" x14ac:dyDescent="0.25">
      <c r="A162" s="14">
        <f>'Manager''s Page'!H162</f>
        <v>160</v>
      </c>
      <c r="B162" s="15">
        <f t="shared" si="23"/>
        <v>2410</v>
      </c>
      <c r="C162" s="16">
        <f>'Manager''s Page'!I162</f>
        <v>777</v>
      </c>
      <c r="D162" s="16">
        <f t="shared" si="16"/>
        <v>777</v>
      </c>
      <c r="E162" s="16">
        <f t="shared" si="17"/>
        <v>0</v>
      </c>
      <c r="F162" s="16">
        <f t="shared" si="18"/>
        <v>1633</v>
      </c>
      <c r="G162" s="17">
        <f>F162*(Constant!$B$11/365)</f>
        <v>119.90246575342466</v>
      </c>
      <c r="H162" s="16">
        <f>IF(F162&lt;'Manager''s Page'!$B$11,'Manager''s Page'!$B$14,0)</f>
        <v>0</v>
      </c>
      <c r="I162" s="17" cm="1">
        <f t="array" ref="I162">_xlfn.IFS(H162&lt;Constant!$A$3,0,H162&lt;Constant!$A$4,375,H162&lt;Constant!$A$5,275,H162&lt;Constant!$A$6,175)</f>
        <v>0</v>
      </c>
      <c r="J162" s="16">
        <f t="shared" si="19"/>
        <v>777</v>
      </c>
      <c r="K162" s="16">
        <f t="shared" si="20"/>
        <v>1633</v>
      </c>
      <c r="L162" s="14">
        <f t="shared" si="21"/>
        <v>777</v>
      </c>
      <c r="M162" s="44">
        <f t="shared" si="22"/>
        <v>1633</v>
      </c>
    </row>
    <row r="163" spans="1:13" x14ac:dyDescent="0.25">
      <c r="A163" s="14">
        <f>'Manager''s Page'!H163</f>
        <v>161</v>
      </c>
      <c r="B163" s="15">
        <f t="shared" si="23"/>
        <v>1633</v>
      </c>
      <c r="C163" s="16">
        <f>'Manager''s Page'!I163</f>
        <v>331</v>
      </c>
      <c r="D163" s="16">
        <f t="shared" si="16"/>
        <v>331</v>
      </c>
      <c r="E163" s="16">
        <f t="shared" si="17"/>
        <v>0</v>
      </c>
      <c r="F163" s="16">
        <f t="shared" si="18"/>
        <v>1302</v>
      </c>
      <c r="G163" s="17">
        <f>F163*(Constant!$B$11/365)</f>
        <v>95.598904109589043</v>
      </c>
      <c r="H163" s="16">
        <f>IF(F163&lt;'Manager''s Page'!$B$11,'Manager''s Page'!$B$14,0)</f>
        <v>0</v>
      </c>
      <c r="I163" s="17" cm="1">
        <f t="array" ref="I163">_xlfn.IFS(H163&lt;Constant!$A$3,0,H163&lt;Constant!$A$4,375,H163&lt;Constant!$A$5,275,H163&lt;Constant!$A$6,175)</f>
        <v>0</v>
      </c>
      <c r="J163" s="16">
        <f t="shared" si="19"/>
        <v>331</v>
      </c>
      <c r="K163" s="16">
        <f t="shared" si="20"/>
        <v>1302</v>
      </c>
      <c r="L163" s="14">
        <f t="shared" si="21"/>
        <v>331</v>
      </c>
      <c r="M163" s="44">
        <f t="shared" si="22"/>
        <v>1302</v>
      </c>
    </row>
    <row r="164" spans="1:13" x14ac:dyDescent="0.25">
      <c r="A164" s="14">
        <f>'Manager''s Page'!H164</f>
        <v>162</v>
      </c>
      <c r="B164" s="15">
        <f t="shared" si="23"/>
        <v>1302</v>
      </c>
      <c r="C164" s="16">
        <f>'Manager''s Page'!I164</f>
        <v>891</v>
      </c>
      <c r="D164" s="16">
        <f t="shared" si="16"/>
        <v>891</v>
      </c>
      <c r="E164" s="16">
        <f t="shared" si="17"/>
        <v>0</v>
      </c>
      <c r="F164" s="16">
        <f t="shared" si="18"/>
        <v>411</v>
      </c>
      <c r="G164" s="17">
        <f>F164*(Constant!$B$11/365)</f>
        <v>30.177534246575345</v>
      </c>
      <c r="H164" s="16">
        <f>IF(F164&lt;'Manager''s Page'!$B$11,'Manager''s Page'!$B$14,0)</f>
        <v>0</v>
      </c>
      <c r="I164" s="17" cm="1">
        <f t="array" ref="I164">_xlfn.IFS(H164&lt;Constant!$A$3,0,H164&lt;Constant!$A$4,375,H164&lt;Constant!$A$5,275,H164&lt;Constant!$A$6,175)</f>
        <v>0</v>
      </c>
      <c r="J164" s="16">
        <f t="shared" si="19"/>
        <v>891</v>
      </c>
      <c r="K164" s="16">
        <f t="shared" si="20"/>
        <v>411</v>
      </c>
      <c r="L164" s="14">
        <f t="shared" si="21"/>
        <v>891</v>
      </c>
      <c r="M164" s="44">
        <f t="shared" si="22"/>
        <v>411</v>
      </c>
    </row>
    <row r="165" spans="1:13" x14ac:dyDescent="0.25">
      <c r="A165" s="14">
        <f>'Manager''s Page'!H165</f>
        <v>163</v>
      </c>
      <c r="B165" s="15">
        <f t="shared" si="23"/>
        <v>411</v>
      </c>
      <c r="C165" s="16">
        <f>'Manager''s Page'!I165</f>
        <v>940</v>
      </c>
      <c r="D165" s="16">
        <f t="shared" si="16"/>
        <v>411</v>
      </c>
      <c r="E165" s="16">
        <f t="shared" si="17"/>
        <v>529</v>
      </c>
      <c r="F165" s="16">
        <f t="shared" si="18"/>
        <v>0</v>
      </c>
      <c r="G165" s="17">
        <f>F165*(Constant!$B$11/365)</f>
        <v>0</v>
      </c>
      <c r="H165" s="16">
        <f>IF(F165&lt;'Manager''s Page'!$B$11,'Manager''s Page'!$B$14,0)</f>
        <v>5000</v>
      </c>
      <c r="I165" s="17" cm="1">
        <f t="array" ref="I165">_xlfn.IFS(H165&lt;Constant!$A$3,0,H165&lt;Constant!$A$4,375,H165&lt;Constant!$A$5,275,H165&lt;Constant!$A$6,175)</f>
        <v>275</v>
      </c>
      <c r="J165" s="16">
        <f t="shared" si="19"/>
        <v>940</v>
      </c>
      <c r="K165" s="16">
        <f t="shared" si="20"/>
        <v>0</v>
      </c>
      <c r="L165" s="14">
        <f t="shared" si="21"/>
        <v>940</v>
      </c>
      <c r="M165" s="44">
        <f t="shared" si="22"/>
        <v>0</v>
      </c>
    </row>
    <row r="166" spans="1:13" x14ac:dyDescent="0.25">
      <c r="A166" s="14">
        <f>'Manager''s Page'!H166</f>
        <v>164</v>
      </c>
      <c r="B166" s="15">
        <f t="shared" si="23"/>
        <v>5000</v>
      </c>
      <c r="C166" s="16">
        <f>'Manager''s Page'!I166</f>
        <v>876</v>
      </c>
      <c r="D166" s="16">
        <f t="shared" si="16"/>
        <v>876</v>
      </c>
      <c r="E166" s="16">
        <f t="shared" si="17"/>
        <v>0</v>
      </c>
      <c r="F166" s="16">
        <f t="shared" si="18"/>
        <v>4124</v>
      </c>
      <c r="G166" s="17">
        <f>F166*(Constant!$B$11/365)</f>
        <v>302.80328767123291</v>
      </c>
      <c r="H166" s="16">
        <f>IF(F166&lt;'Manager''s Page'!$B$11,'Manager''s Page'!$B$14,0)</f>
        <v>0</v>
      </c>
      <c r="I166" s="17" cm="1">
        <f t="array" ref="I166">_xlfn.IFS(H166&lt;Constant!$A$3,0,H166&lt;Constant!$A$4,375,H166&lt;Constant!$A$5,275,H166&lt;Constant!$A$6,175)</f>
        <v>0</v>
      </c>
      <c r="J166" s="16">
        <f t="shared" si="19"/>
        <v>876</v>
      </c>
      <c r="K166" s="16">
        <f t="shared" si="20"/>
        <v>4124</v>
      </c>
      <c r="L166" s="14">
        <f t="shared" si="21"/>
        <v>876</v>
      </c>
      <c r="M166" s="44">
        <f t="shared" si="22"/>
        <v>4124</v>
      </c>
    </row>
    <row r="167" spans="1:13" x14ac:dyDescent="0.25">
      <c r="A167" s="14">
        <f>'Manager''s Page'!H167</f>
        <v>165</v>
      </c>
      <c r="B167" s="15">
        <f t="shared" si="23"/>
        <v>4124</v>
      </c>
      <c r="C167" s="16">
        <f>'Manager''s Page'!I167</f>
        <v>218</v>
      </c>
      <c r="D167" s="16">
        <f t="shared" si="16"/>
        <v>218</v>
      </c>
      <c r="E167" s="16">
        <f t="shared" si="17"/>
        <v>0</v>
      </c>
      <c r="F167" s="16">
        <f t="shared" si="18"/>
        <v>3906</v>
      </c>
      <c r="G167" s="17">
        <f>F167*(Constant!$B$11/365)</f>
        <v>286.79671232876717</v>
      </c>
      <c r="H167" s="16">
        <f>IF(F167&lt;'Manager''s Page'!$B$11,'Manager''s Page'!$B$14,0)</f>
        <v>0</v>
      </c>
      <c r="I167" s="17" cm="1">
        <f t="array" ref="I167">_xlfn.IFS(H167&lt;Constant!$A$3,0,H167&lt;Constant!$A$4,375,H167&lt;Constant!$A$5,275,H167&lt;Constant!$A$6,175)</f>
        <v>0</v>
      </c>
      <c r="J167" s="16">
        <f t="shared" si="19"/>
        <v>218</v>
      </c>
      <c r="K167" s="16">
        <f t="shared" si="20"/>
        <v>3906</v>
      </c>
      <c r="L167" s="14">
        <f t="shared" si="21"/>
        <v>218</v>
      </c>
      <c r="M167" s="44">
        <f t="shared" si="22"/>
        <v>3906</v>
      </c>
    </row>
    <row r="168" spans="1:13" x14ac:dyDescent="0.25">
      <c r="A168" s="14">
        <f>'Manager''s Page'!H168</f>
        <v>166</v>
      </c>
      <c r="B168" s="15">
        <f t="shared" si="23"/>
        <v>3906</v>
      </c>
      <c r="C168" s="16">
        <f>'Manager''s Page'!I168</f>
        <v>941</v>
      </c>
      <c r="D168" s="16">
        <f t="shared" si="16"/>
        <v>941</v>
      </c>
      <c r="E168" s="16">
        <f t="shared" si="17"/>
        <v>0</v>
      </c>
      <c r="F168" s="16">
        <f t="shared" si="18"/>
        <v>2965</v>
      </c>
      <c r="G168" s="17">
        <f>F168*(Constant!$B$11/365)</f>
        <v>217.70410958904111</v>
      </c>
      <c r="H168" s="16">
        <f>IF(F168&lt;'Manager''s Page'!$B$11,'Manager''s Page'!$B$14,0)</f>
        <v>0</v>
      </c>
      <c r="I168" s="17" cm="1">
        <f t="array" ref="I168">_xlfn.IFS(H168&lt;Constant!$A$3,0,H168&lt;Constant!$A$4,375,H168&lt;Constant!$A$5,275,H168&lt;Constant!$A$6,175)</f>
        <v>0</v>
      </c>
      <c r="J168" s="16">
        <f t="shared" si="19"/>
        <v>941</v>
      </c>
      <c r="K168" s="16">
        <f t="shared" si="20"/>
        <v>2965</v>
      </c>
      <c r="L168" s="14">
        <f t="shared" si="21"/>
        <v>941</v>
      </c>
      <c r="M168" s="44">
        <f t="shared" si="22"/>
        <v>2965</v>
      </c>
    </row>
    <row r="169" spans="1:13" x14ac:dyDescent="0.25">
      <c r="A169" s="14">
        <f>'Manager''s Page'!H169</f>
        <v>167</v>
      </c>
      <c r="B169" s="15">
        <f t="shared" si="23"/>
        <v>2965</v>
      </c>
      <c r="C169" s="16">
        <f>'Manager''s Page'!I169</f>
        <v>253</v>
      </c>
      <c r="D169" s="16">
        <f t="shared" si="16"/>
        <v>253</v>
      </c>
      <c r="E169" s="16">
        <f t="shared" si="17"/>
        <v>0</v>
      </c>
      <c r="F169" s="16">
        <f t="shared" si="18"/>
        <v>2712</v>
      </c>
      <c r="G169" s="17">
        <f>F169*(Constant!$B$11/365)</f>
        <v>199.12767123287674</v>
      </c>
      <c r="H169" s="16">
        <f>IF(F169&lt;'Manager''s Page'!$B$11,'Manager''s Page'!$B$14,0)</f>
        <v>0</v>
      </c>
      <c r="I169" s="17" cm="1">
        <f t="array" ref="I169">_xlfn.IFS(H169&lt;Constant!$A$3,0,H169&lt;Constant!$A$4,375,H169&lt;Constant!$A$5,275,H169&lt;Constant!$A$6,175)</f>
        <v>0</v>
      </c>
      <c r="J169" s="16">
        <f t="shared" si="19"/>
        <v>253</v>
      </c>
      <c r="K169" s="16">
        <f t="shared" si="20"/>
        <v>2712</v>
      </c>
      <c r="L169" s="14">
        <f t="shared" si="21"/>
        <v>253</v>
      </c>
      <c r="M169" s="44">
        <f t="shared" si="22"/>
        <v>2712</v>
      </c>
    </row>
    <row r="170" spans="1:13" x14ac:dyDescent="0.25">
      <c r="A170" s="14">
        <f>'Manager''s Page'!H170</f>
        <v>168</v>
      </c>
      <c r="B170" s="15">
        <f t="shared" si="23"/>
        <v>2712</v>
      </c>
      <c r="C170" s="16">
        <f>'Manager''s Page'!I170</f>
        <v>179</v>
      </c>
      <c r="D170" s="16">
        <f t="shared" si="16"/>
        <v>179</v>
      </c>
      <c r="E170" s="16">
        <f t="shared" si="17"/>
        <v>0</v>
      </c>
      <c r="F170" s="16">
        <f t="shared" si="18"/>
        <v>2533</v>
      </c>
      <c r="G170" s="17">
        <f>F170*(Constant!$B$11/365)</f>
        <v>185.98465753424659</v>
      </c>
      <c r="H170" s="16">
        <f>IF(F170&lt;'Manager''s Page'!$B$11,'Manager''s Page'!$B$14,0)</f>
        <v>0</v>
      </c>
      <c r="I170" s="17" cm="1">
        <f t="array" ref="I170">_xlfn.IFS(H170&lt;Constant!$A$3,0,H170&lt;Constant!$A$4,375,H170&lt;Constant!$A$5,275,H170&lt;Constant!$A$6,175)</f>
        <v>0</v>
      </c>
      <c r="J170" s="16">
        <f t="shared" si="19"/>
        <v>179</v>
      </c>
      <c r="K170" s="16">
        <f t="shared" si="20"/>
        <v>2533</v>
      </c>
      <c r="L170" s="14">
        <f t="shared" si="21"/>
        <v>179</v>
      </c>
      <c r="M170" s="44">
        <f t="shared" si="22"/>
        <v>2533</v>
      </c>
    </row>
    <row r="171" spans="1:13" x14ac:dyDescent="0.25">
      <c r="A171" s="14">
        <f>'Manager''s Page'!H171</f>
        <v>169</v>
      </c>
      <c r="B171" s="15">
        <f t="shared" si="23"/>
        <v>2533</v>
      </c>
      <c r="C171" s="16">
        <f>'Manager''s Page'!I171</f>
        <v>343</v>
      </c>
      <c r="D171" s="16">
        <f t="shared" si="16"/>
        <v>343</v>
      </c>
      <c r="E171" s="16">
        <f t="shared" si="17"/>
        <v>0</v>
      </c>
      <c r="F171" s="16">
        <f t="shared" si="18"/>
        <v>2190</v>
      </c>
      <c r="G171" s="17">
        <f>F171*(Constant!$B$11/365)</f>
        <v>160.80000000000001</v>
      </c>
      <c r="H171" s="16">
        <f>IF(F171&lt;'Manager''s Page'!$B$11,'Manager''s Page'!$B$14,0)</f>
        <v>0</v>
      </c>
      <c r="I171" s="17" cm="1">
        <f t="array" ref="I171">_xlfn.IFS(H171&lt;Constant!$A$3,0,H171&lt;Constant!$A$4,375,H171&lt;Constant!$A$5,275,H171&lt;Constant!$A$6,175)</f>
        <v>0</v>
      </c>
      <c r="J171" s="16">
        <f t="shared" si="19"/>
        <v>343</v>
      </c>
      <c r="K171" s="16">
        <f t="shared" si="20"/>
        <v>2190</v>
      </c>
      <c r="L171" s="14">
        <f t="shared" si="21"/>
        <v>343</v>
      </c>
      <c r="M171" s="44">
        <f t="shared" si="22"/>
        <v>2190</v>
      </c>
    </row>
    <row r="172" spans="1:13" x14ac:dyDescent="0.25">
      <c r="A172" s="14">
        <f>'Manager''s Page'!H172</f>
        <v>170</v>
      </c>
      <c r="B172" s="15">
        <f t="shared" si="23"/>
        <v>2190</v>
      </c>
      <c r="C172" s="16">
        <f>'Manager''s Page'!I172</f>
        <v>449</v>
      </c>
      <c r="D172" s="16">
        <f t="shared" si="16"/>
        <v>449</v>
      </c>
      <c r="E172" s="16">
        <f t="shared" si="17"/>
        <v>0</v>
      </c>
      <c r="F172" s="16">
        <f t="shared" si="18"/>
        <v>1741</v>
      </c>
      <c r="G172" s="17">
        <f>F172*(Constant!$B$11/365)</f>
        <v>127.8323287671233</v>
      </c>
      <c r="H172" s="16">
        <f>IF(F172&lt;'Manager''s Page'!$B$11,'Manager''s Page'!$B$14,0)</f>
        <v>0</v>
      </c>
      <c r="I172" s="17" cm="1">
        <f t="array" ref="I172">_xlfn.IFS(H172&lt;Constant!$A$3,0,H172&lt;Constant!$A$4,375,H172&lt;Constant!$A$5,275,H172&lt;Constant!$A$6,175)</f>
        <v>0</v>
      </c>
      <c r="J172" s="16">
        <f t="shared" si="19"/>
        <v>449</v>
      </c>
      <c r="K172" s="16">
        <f t="shared" si="20"/>
        <v>1741</v>
      </c>
      <c r="L172" s="14">
        <f t="shared" si="21"/>
        <v>449</v>
      </c>
      <c r="M172" s="44">
        <f t="shared" si="22"/>
        <v>1741</v>
      </c>
    </row>
    <row r="173" spans="1:13" x14ac:dyDescent="0.25">
      <c r="A173" s="14">
        <f>'Manager''s Page'!H173</f>
        <v>171</v>
      </c>
      <c r="B173" s="15">
        <f t="shared" si="23"/>
        <v>1741</v>
      </c>
      <c r="C173" s="16">
        <f>'Manager''s Page'!I173</f>
        <v>457</v>
      </c>
      <c r="D173" s="16">
        <f t="shared" si="16"/>
        <v>457</v>
      </c>
      <c r="E173" s="16">
        <f t="shared" si="17"/>
        <v>0</v>
      </c>
      <c r="F173" s="16">
        <f t="shared" si="18"/>
        <v>1284</v>
      </c>
      <c r="G173" s="17">
        <f>F173*(Constant!$B$11/365)</f>
        <v>94.277260273972615</v>
      </c>
      <c r="H173" s="16">
        <f>IF(F173&lt;'Manager''s Page'!$B$11,'Manager''s Page'!$B$14,0)</f>
        <v>0</v>
      </c>
      <c r="I173" s="17" cm="1">
        <f t="array" ref="I173">_xlfn.IFS(H173&lt;Constant!$A$3,0,H173&lt;Constant!$A$4,375,H173&lt;Constant!$A$5,275,H173&lt;Constant!$A$6,175)</f>
        <v>0</v>
      </c>
      <c r="J173" s="16">
        <f t="shared" si="19"/>
        <v>457</v>
      </c>
      <c r="K173" s="16">
        <f t="shared" si="20"/>
        <v>1284</v>
      </c>
      <c r="L173" s="14">
        <f t="shared" si="21"/>
        <v>457</v>
      </c>
      <c r="M173" s="44">
        <f t="shared" si="22"/>
        <v>1284</v>
      </c>
    </row>
    <row r="174" spans="1:13" x14ac:dyDescent="0.25">
      <c r="A174" s="14">
        <f>'Manager''s Page'!H174</f>
        <v>172</v>
      </c>
      <c r="B174" s="15">
        <f t="shared" si="23"/>
        <v>1284</v>
      </c>
      <c r="C174" s="16">
        <f>'Manager''s Page'!I174</f>
        <v>898</v>
      </c>
      <c r="D174" s="16">
        <f t="shared" si="16"/>
        <v>898</v>
      </c>
      <c r="E174" s="16">
        <f t="shared" si="17"/>
        <v>0</v>
      </c>
      <c r="F174" s="16">
        <f t="shared" si="18"/>
        <v>386</v>
      </c>
      <c r="G174" s="17">
        <f>F174*(Constant!$B$11/365)</f>
        <v>28.341917808219179</v>
      </c>
      <c r="H174" s="16">
        <f>IF(F174&lt;'Manager''s Page'!$B$11,'Manager''s Page'!$B$14,0)</f>
        <v>0</v>
      </c>
      <c r="I174" s="17" cm="1">
        <f t="array" ref="I174">_xlfn.IFS(H174&lt;Constant!$A$3,0,H174&lt;Constant!$A$4,375,H174&lt;Constant!$A$5,275,H174&lt;Constant!$A$6,175)</f>
        <v>0</v>
      </c>
      <c r="J174" s="16">
        <f t="shared" si="19"/>
        <v>898</v>
      </c>
      <c r="K174" s="16">
        <f t="shared" si="20"/>
        <v>386</v>
      </c>
      <c r="L174" s="14">
        <f t="shared" si="21"/>
        <v>898</v>
      </c>
      <c r="M174" s="44">
        <f t="shared" si="22"/>
        <v>386</v>
      </c>
    </row>
    <row r="175" spans="1:13" x14ac:dyDescent="0.25">
      <c r="A175" s="14">
        <f>'Manager''s Page'!H175</f>
        <v>173</v>
      </c>
      <c r="B175" s="15">
        <f t="shared" si="23"/>
        <v>386</v>
      </c>
      <c r="C175" s="16">
        <f>'Manager''s Page'!I175</f>
        <v>712</v>
      </c>
      <c r="D175" s="16">
        <f t="shared" si="16"/>
        <v>386</v>
      </c>
      <c r="E175" s="16">
        <f t="shared" si="17"/>
        <v>326</v>
      </c>
      <c r="F175" s="16">
        <f t="shared" si="18"/>
        <v>0</v>
      </c>
      <c r="G175" s="17">
        <f>F175*(Constant!$B$11/365)</f>
        <v>0</v>
      </c>
      <c r="H175" s="16">
        <f>IF(F175&lt;'Manager''s Page'!$B$11,'Manager''s Page'!$B$14,0)</f>
        <v>5000</v>
      </c>
      <c r="I175" s="17" cm="1">
        <f t="array" ref="I175">_xlfn.IFS(H175&lt;Constant!$A$3,0,H175&lt;Constant!$A$4,375,H175&lt;Constant!$A$5,275,H175&lt;Constant!$A$6,175)</f>
        <v>275</v>
      </c>
      <c r="J175" s="16">
        <f t="shared" si="19"/>
        <v>712</v>
      </c>
      <c r="K175" s="16">
        <f t="shared" si="20"/>
        <v>0</v>
      </c>
      <c r="L175" s="14">
        <f t="shared" si="21"/>
        <v>712</v>
      </c>
      <c r="M175" s="44">
        <f t="shared" si="22"/>
        <v>0</v>
      </c>
    </row>
    <row r="176" spans="1:13" x14ac:dyDescent="0.25">
      <c r="A176" s="14">
        <f>'Manager''s Page'!H176</f>
        <v>174</v>
      </c>
      <c r="B176" s="15">
        <f t="shared" si="23"/>
        <v>5000</v>
      </c>
      <c r="C176" s="16">
        <f>'Manager''s Page'!I176</f>
        <v>892</v>
      </c>
      <c r="D176" s="16">
        <f t="shared" si="16"/>
        <v>892</v>
      </c>
      <c r="E176" s="16">
        <f t="shared" si="17"/>
        <v>0</v>
      </c>
      <c r="F176" s="16">
        <f t="shared" si="18"/>
        <v>4108</v>
      </c>
      <c r="G176" s="17">
        <f>F176*(Constant!$B$11/365)</f>
        <v>301.62849315068496</v>
      </c>
      <c r="H176" s="16">
        <f>IF(F176&lt;'Manager''s Page'!$B$11,'Manager''s Page'!$B$14,0)</f>
        <v>0</v>
      </c>
      <c r="I176" s="17" cm="1">
        <f t="array" ref="I176">_xlfn.IFS(H176&lt;Constant!$A$3,0,H176&lt;Constant!$A$4,375,H176&lt;Constant!$A$5,275,H176&lt;Constant!$A$6,175)</f>
        <v>0</v>
      </c>
      <c r="J176" s="16">
        <f t="shared" si="19"/>
        <v>892</v>
      </c>
      <c r="K176" s="16">
        <f t="shared" si="20"/>
        <v>4108</v>
      </c>
      <c r="L176" s="14">
        <f t="shared" si="21"/>
        <v>892</v>
      </c>
      <c r="M176" s="44">
        <f t="shared" si="22"/>
        <v>4108</v>
      </c>
    </row>
    <row r="177" spans="1:13" x14ac:dyDescent="0.25">
      <c r="A177" s="14">
        <f>'Manager''s Page'!H177</f>
        <v>175</v>
      </c>
      <c r="B177" s="15">
        <f t="shared" si="23"/>
        <v>4108</v>
      </c>
      <c r="C177" s="16">
        <f>'Manager''s Page'!I177</f>
        <v>546</v>
      </c>
      <c r="D177" s="16">
        <f t="shared" si="16"/>
        <v>546</v>
      </c>
      <c r="E177" s="16">
        <f t="shared" si="17"/>
        <v>0</v>
      </c>
      <c r="F177" s="16">
        <f t="shared" si="18"/>
        <v>3562</v>
      </c>
      <c r="G177" s="17">
        <f>F177*(Constant!$B$11/365)</f>
        <v>261.53863013698634</v>
      </c>
      <c r="H177" s="16">
        <f>IF(F177&lt;'Manager''s Page'!$B$11,'Manager''s Page'!$B$14,0)</f>
        <v>0</v>
      </c>
      <c r="I177" s="17" cm="1">
        <f t="array" ref="I177">_xlfn.IFS(H177&lt;Constant!$A$3,0,H177&lt;Constant!$A$4,375,H177&lt;Constant!$A$5,275,H177&lt;Constant!$A$6,175)</f>
        <v>0</v>
      </c>
      <c r="J177" s="16">
        <f t="shared" si="19"/>
        <v>546</v>
      </c>
      <c r="K177" s="16">
        <f t="shared" si="20"/>
        <v>3562</v>
      </c>
      <c r="L177" s="14">
        <f t="shared" si="21"/>
        <v>546</v>
      </c>
      <c r="M177" s="44">
        <f t="shared" si="22"/>
        <v>3562</v>
      </c>
    </row>
    <row r="178" spans="1:13" x14ac:dyDescent="0.25">
      <c r="A178" s="14">
        <f>'Manager''s Page'!H178</f>
        <v>176</v>
      </c>
      <c r="B178" s="15">
        <f t="shared" si="23"/>
        <v>3562</v>
      </c>
      <c r="C178" s="16">
        <f>'Manager''s Page'!I178</f>
        <v>295</v>
      </c>
      <c r="D178" s="16">
        <f t="shared" si="16"/>
        <v>295</v>
      </c>
      <c r="E178" s="16">
        <f t="shared" si="17"/>
        <v>0</v>
      </c>
      <c r="F178" s="16">
        <f t="shared" si="18"/>
        <v>3267</v>
      </c>
      <c r="G178" s="17">
        <f>F178*(Constant!$B$11/365)</f>
        <v>239.87835616438358</v>
      </c>
      <c r="H178" s="16">
        <f>IF(F178&lt;'Manager''s Page'!$B$11,'Manager''s Page'!$B$14,0)</f>
        <v>0</v>
      </c>
      <c r="I178" s="17" cm="1">
        <f t="array" ref="I178">_xlfn.IFS(H178&lt;Constant!$A$3,0,H178&lt;Constant!$A$4,375,H178&lt;Constant!$A$5,275,H178&lt;Constant!$A$6,175)</f>
        <v>0</v>
      </c>
      <c r="J178" s="16">
        <f t="shared" si="19"/>
        <v>295</v>
      </c>
      <c r="K178" s="16">
        <f t="shared" si="20"/>
        <v>3267</v>
      </c>
      <c r="L178" s="14">
        <f t="shared" si="21"/>
        <v>295</v>
      </c>
      <c r="M178" s="44">
        <f t="shared" si="22"/>
        <v>3267</v>
      </c>
    </row>
    <row r="179" spans="1:13" x14ac:dyDescent="0.25">
      <c r="A179" s="14">
        <f>'Manager''s Page'!H179</f>
        <v>177</v>
      </c>
      <c r="B179" s="15">
        <f t="shared" si="23"/>
        <v>3267</v>
      </c>
      <c r="C179" s="16">
        <f>'Manager''s Page'!I179</f>
        <v>257</v>
      </c>
      <c r="D179" s="16">
        <f t="shared" si="16"/>
        <v>257</v>
      </c>
      <c r="E179" s="16">
        <f t="shared" si="17"/>
        <v>0</v>
      </c>
      <c r="F179" s="16">
        <f t="shared" si="18"/>
        <v>3010</v>
      </c>
      <c r="G179" s="17">
        <f>F179*(Constant!$B$11/365)</f>
        <v>221.00821917808221</v>
      </c>
      <c r="H179" s="16">
        <f>IF(F179&lt;'Manager''s Page'!$B$11,'Manager''s Page'!$B$14,0)</f>
        <v>0</v>
      </c>
      <c r="I179" s="17" cm="1">
        <f t="array" ref="I179">_xlfn.IFS(H179&lt;Constant!$A$3,0,H179&lt;Constant!$A$4,375,H179&lt;Constant!$A$5,275,H179&lt;Constant!$A$6,175)</f>
        <v>0</v>
      </c>
      <c r="J179" s="16">
        <f t="shared" si="19"/>
        <v>257</v>
      </c>
      <c r="K179" s="16">
        <f t="shared" si="20"/>
        <v>3010</v>
      </c>
      <c r="L179" s="14">
        <f t="shared" si="21"/>
        <v>257</v>
      </c>
      <c r="M179" s="44">
        <f t="shared" si="22"/>
        <v>3010</v>
      </c>
    </row>
    <row r="180" spans="1:13" x14ac:dyDescent="0.25">
      <c r="A180" s="14">
        <f>'Manager''s Page'!H180</f>
        <v>178</v>
      </c>
      <c r="B180" s="15">
        <f t="shared" si="23"/>
        <v>3010</v>
      </c>
      <c r="C180" s="16">
        <f>'Manager''s Page'!I180</f>
        <v>875</v>
      </c>
      <c r="D180" s="16">
        <f t="shared" si="16"/>
        <v>875</v>
      </c>
      <c r="E180" s="16">
        <f t="shared" si="17"/>
        <v>0</v>
      </c>
      <c r="F180" s="16">
        <f t="shared" si="18"/>
        <v>2135</v>
      </c>
      <c r="G180" s="17">
        <f>F180*(Constant!$B$11/365)</f>
        <v>156.76164383561644</v>
      </c>
      <c r="H180" s="16">
        <f>IF(F180&lt;'Manager''s Page'!$B$11,'Manager''s Page'!$B$14,0)</f>
        <v>0</v>
      </c>
      <c r="I180" s="17" cm="1">
        <f t="array" ref="I180">_xlfn.IFS(H180&lt;Constant!$A$3,0,H180&lt;Constant!$A$4,375,H180&lt;Constant!$A$5,275,H180&lt;Constant!$A$6,175)</f>
        <v>0</v>
      </c>
      <c r="J180" s="16">
        <f t="shared" si="19"/>
        <v>875</v>
      </c>
      <c r="K180" s="16">
        <f t="shared" si="20"/>
        <v>2135</v>
      </c>
      <c r="L180" s="14">
        <f t="shared" si="21"/>
        <v>875</v>
      </c>
      <c r="M180" s="44">
        <f t="shared" si="22"/>
        <v>2135</v>
      </c>
    </row>
    <row r="181" spans="1:13" x14ac:dyDescent="0.25">
      <c r="A181" s="14">
        <f>'Manager''s Page'!H181</f>
        <v>179</v>
      </c>
      <c r="B181" s="15">
        <f t="shared" si="23"/>
        <v>2135</v>
      </c>
      <c r="C181" s="16">
        <f>'Manager''s Page'!I181</f>
        <v>342</v>
      </c>
      <c r="D181" s="16">
        <f t="shared" si="16"/>
        <v>342</v>
      </c>
      <c r="E181" s="16">
        <f t="shared" si="17"/>
        <v>0</v>
      </c>
      <c r="F181" s="16">
        <f t="shared" si="18"/>
        <v>1793</v>
      </c>
      <c r="G181" s="17">
        <f>F181*(Constant!$B$11/365)</f>
        <v>131.65041095890413</v>
      </c>
      <c r="H181" s="16">
        <f>IF(F181&lt;'Manager''s Page'!$B$11,'Manager''s Page'!$B$14,0)</f>
        <v>0</v>
      </c>
      <c r="I181" s="17" cm="1">
        <f t="array" ref="I181">_xlfn.IFS(H181&lt;Constant!$A$3,0,H181&lt;Constant!$A$4,375,H181&lt;Constant!$A$5,275,H181&lt;Constant!$A$6,175)</f>
        <v>0</v>
      </c>
      <c r="J181" s="16">
        <f t="shared" si="19"/>
        <v>342</v>
      </c>
      <c r="K181" s="16">
        <f t="shared" si="20"/>
        <v>1793</v>
      </c>
      <c r="L181" s="14">
        <f t="shared" si="21"/>
        <v>342</v>
      </c>
      <c r="M181" s="44">
        <f t="shared" si="22"/>
        <v>1793</v>
      </c>
    </row>
    <row r="182" spans="1:13" x14ac:dyDescent="0.25">
      <c r="A182" s="14">
        <f>'Manager''s Page'!H182</f>
        <v>180</v>
      </c>
      <c r="B182" s="15">
        <f t="shared" si="23"/>
        <v>1793</v>
      </c>
      <c r="C182" s="16">
        <f>'Manager''s Page'!I182</f>
        <v>345</v>
      </c>
      <c r="D182" s="16">
        <f t="shared" si="16"/>
        <v>345</v>
      </c>
      <c r="E182" s="16">
        <f t="shared" si="17"/>
        <v>0</v>
      </c>
      <c r="F182" s="16">
        <f t="shared" si="18"/>
        <v>1448</v>
      </c>
      <c r="G182" s="17">
        <f>F182*(Constant!$B$11/365)</f>
        <v>106.31890410958906</v>
      </c>
      <c r="H182" s="16">
        <f>IF(F182&lt;'Manager''s Page'!$B$11,'Manager''s Page'!$B$14,0)</f>
        <v>0</v>
      </c>
      <c r="I182" s="17" cm="1">
        <f t="array" ref="I182">_xlfn.IFS(H182&lt;Constant!$A$3,0,H182&lt;Constant!$A$4,375,H182&lt;Constant!$A$5,275,H182&lt;Constant!$A$6,175)</f>
        <v>0</v>
      </c>
      <c r="J182" s="16">
        <f t="shared" si="19"/>
        <v>345</v>
      </c>
      <c r="K182" s="16">
        <f t="shared" si="20"/>
        <v>1448</v>
      </c>
      <c r="L182" s="14">
        <f t="shared" si="21"/>
        <v>345</v>
      </c>
      <c r="M182" s="44">
        <f t="shared" si="22"/>
        <v>1448</v>
      </c>
    </row>
    <row r="183" spans="1:13" x14ac:dyDescent="0.25">
      <c r="A183" s="14">
        <f>'Manager''s Page'!H183</f>
        <v>181</v>
      </c>
      <c r="B183" s="15">
        <f t="shared" si="23"/>
        <v>1448</v>
      </c>
      <c r="C183" s="16">
        <f>'Manager''s Page'!I183</f>
        <v>463</v>
      </c>
      <c r="D183" s="16">
        <f t="shared" si="16"/>
        <v>463</v>
      </c>
      <c r="E183" s="16">
        <f t="shared" si="17"/>
        <v>0</v>
      </c>
      <c r="F183" s="16">
        <f t="shared" si="18"/>
        <v>985</v>
      </c>
      <c r="G183" s="17">
        <f>F183*(Constant!$B$11/365)</f>
        <v>72.323287671232876</v>
      </c>
      <c r="H183" s="16">
        <f>IF(F183&lt;'Manager''s Page'!$B$11,'Manager''s Page'!$B$14,0)</f>
        <v>0</v>
      </c>
      <c r="I183" s="17" cm="1">
        <f t="array" ref="I183">_xlfn.IFS(H183&lt;Constant!$A$3,0,H183&lt;Constant!$A$4,375,H183&lt;Constant!$A$5,275,H183&lt;Constant!$A$6,175)</f>
        <v>0</v>
      </c>
      <c r="J183" s="16">
        <f t="shared" si="19"/>
        <v>463</v>
      </c>
      <c r="K183" s="16">
        <f t="shared" si="20"/>
        <v>985</v>
      </c>
      <c r="L183" s="14">
        <f t="shared" si="21"/>
        <v>463</v>
      </c>
      <c r="M183" s="44">
        <f t="shared" si="22"/>
        <v>985</v>
      </c>
    </row>
    <row r="184" spans="1:13" x14ac:dyDescent="0.25">
      <c r="A184" s="14">
        <f>'Manager''s Page'!H184</f>
        <v>182</v>
      </c>
      <c r="B184" s="15">
        <f t="shared" si="23"/>
        <v>985</v>
      </c>
      <c r="C184" s="16">
        <f>'Manager''s Page'!I184</f>
        <v>873</v>
      </c>
      <c r="D184" s="16">
        <f t="shared" si="16"/>
        <v>873</v>
      </c>
      <c r="E184" s="16">
        <f t="shared" si="17"/>
        <v>0</v>
      </c>
      <c r="F184" s="16">
        <f t="shared" si="18"/>
        <v>112</v>
      </c>
      <c r="G184" s="17">
        <f>F184*(Constant!$B$11/365)</f>
        <v>8.2235616438356178</v>
      </c>
      <c r="H184" s="16">
        <f>IF(F184&lt;'Manager''s Page'!$B$11,'Manager''s Page'!$B$14,0)</f>
        <v>5000</v>
      </c>
      <c r="I184" s="17" cm="1">
        <f t="array" ref="I184">_xlfn.IFS(H184&lt;Constant!$A$3,0,H184&lt;Constant!$A$4,375,H184&lt;Constant!$A$5,275,H184&lt;Constant!$A$6,175)</f>
        <v>275</v>
      </c>
      <c r="J184" s="16">
        <f t="shared" si="19"/>
        <v>873</v>
      </c>
      <c r="K184" s="16">
        <f t="shared" si="20"/>
        <v>112</v>
      </c>
      <c r="L184" s="14">
        <f t="shared" si="21"/>
        <v>873</v>
      </c>
      <c r="M184" s="44">
        <f t="shared" si="22"/>
        <v>112</v>
      </c>
    </row>
    <row r="185" spans="1:13" x14ac:dyDescent="0.25">
      <c r="A185" s="14">
        <f>'Manager''s Page'!H185</f>
        <v>183</v>
      </c>
      <c r="B185" s="15">
        <f t="shared" si="23"/>
        <v>5112</v>
      </c>
      <c r="C185" s="16">
        <f>'Manager''s Page'!I185</f>
        <v>726</v>
      </c>
      <c r="D185" s="16">
        <f t="shared" si="16"/>
        <v>726</v>
      </c>
      <c r="E185" s="16">
        <f t="shared" si="17"/>
        <v>0</v>
      </c>
      <c r="F185" s="16">
        <f t="shared" si="18"/>
        <v>4386</v>
      </c>
      <c r="G185" s="17">
        <f>F185*(Constant!$B$11/365)</f>
        <v>322.0405479452055</v>
      </c>
      <c r="H185" s="16">
        <f>IF(F185&lt;'Manager''s Page'!$B$11,'Manager''s Page'!$B$14,0)</f>
        <v>0</v>
      </c>
      <c r="I185" s="17" cm="1">
        <f t="array" ref="I185">_xlfn.IFS(H185&lt;Constant!$A$3,0,H185&lt;Constant!$A$4,375,H185&lt;Constant!$A$5,275,H185&lt;Constant!$A$6,175)</f>
        <v>0</v>
      </c>
      <c r="J185" s="16">
        <f t="shared" si="19"/>
        <v>726</v>
      </c>
      <c r="K185" s="16">
        <f t="shared" si="20"/>
        <v>4386</v>
      </c>
      <c r="L185" s="14">
        <f t="shared" si="21"/>
        <v>726</v>
      </c>
      <c r="M185" s="44">
        <f t="shared" si="22"/>
        <v>4386</v>
      </c>
    </row>
    <row r="186" spans="1:13" x14ac:dyDescent="0.25">
      <c r="A186" s="14">
        <f>'Manager''s Page'!H186</f>
        <v>184</v>
      </c>
      <c r="B186" s="15">
        <f t="shared" si="23"/>
        <v>4386</v>
      </c>
      <c r="C186" s="16">
        <f>'Manager''s Page'!I186</f>
        <v>339</v>
      </c>
      <c r="D186" s="16">
        <f t="shared" si="16"/>
        <v>339</v>
      </c>
      <c r="E186" s="16">
        <f t="shared" si="17"/>
        <v>0</v>
      </c>
      <c r="F186" s="16">
        <f t="shared" si="18"/>
        <v>4047</v>
      </c>
      <c r="G186" s="17">
        <f>F186*(Constant!$B$11/365)</f>
        <v>297.14958904109591</v>
      </c>
      <c r="H186" s="16">
        <f>IF(F186&lt;'Manager''s Page'!$B$11,'Manager''s Page'!$B$14,0)</f>
        <v>0</v>
      </c>
      <c r="I186" s="17" cm="1">
        <f t="array" ref="I186">_xlfn.IFS(H186&lt;Constant!$A$3,0,H186&lt;Constant!$A$4,375,H186&lt;Constant!$A$5,275,H186&lt;Constant!$A$6,175)</f>
        <v>0</v>
      </c>
      <c r="J186" s="16">
        <f t="shared" si="19"/>
        <v>339</v>
      </c>
      <c r="K186" s="16">
        <f t="shared" si="20"/>
        <v>4047</v>
      </c>
      <c r="L186" s="14">
        <f t="shared" si="21"/>
        <v>339</v>
      </c>
      <c r="M186" s="44">
        <f t="shared" si="22"/>
        <v>4047</v>
      </c>
    </row>
    <row r="187" spans="1:13" x14ac:dyDescent="0.25">
      <c r="A187" s="14">
        <f>'Manager''s Page'!H187</f>
        <v>185</v>
      </c>
      <c r="B187" s="15">
        <f t="shared" si="23"/>
        <v>4047</v>
      </c>
      <c r="C187" s="16">
        <f>'Manager''s Page'!I187</f>
        <v>289</v>
      </c>
      <c r="D187" s="16">
        <f t="shared" si="16"/>
        <v>289</v>
      </c>
      <c r="E187" s="16">
        <f t="shared" si="17"/>
        <v>0</v>
      </c>
      <c r="F187" s="16">
        <f t="shared" si="18"/>
        <v>3758</v>
      </c>
      <c r="G187" s="17">
        <f>F187*(Constant!$B$11/365)</f>
        <v>275.92986301369865</v>
      </c>
      <c r="H187" s="16">
        <f>IF(F187&lt;'Manager''s Page'!$B$11,'Manager''s Page'!$B$14,0)</f>
        <v>0</v>
      </c>
      <c r="I187" s="17" cm="1">
        <f t="array" ref="I187">_xlfn.IFS(H187&lt;Constant!$A$3,0,H187&lt;Constant!$A$4,375,H187&lt;Constant!$A$5,275,H187&lt;Constant!$A$6,175)</f>
        <v>0</v>
      </c>
      <c r="J187" s="16">
        <f t="shared" si="19"/>
        <v>289</v>
      </c>
      <c r="K187" s="16">
        <f t="shared" si="20"/>
        <v>3758</v>
      </c>
      <c r="L187" s="14">
        <f t="shared" si="21"/>
        <v>289</v>
      </c>
      <c r="M187" s="44">
        <f t="shared" si="22"/>
        <v>3758</v>
      </c>
    </row>
    <row r="188" spans="1:13" x14ac:dyDescent="0.25">
      <c r="A188" s="14">
        <f>'Manager''s Page'!H188</f>
        <v>186</v>
      </c>
      <c r="B188" s="15">
        <f t="shared" si="23"/>
        <v>3758</v>
      </c>
      <c r="C188" s="16">
        <f>'Manager''s Page'!I188</f>
        <v>258</v>
      </c>
      <c r="D188" s="16">
        <f t="shared" si="16"/>
        <v>258</v>
      </c>
      <c r="E188" s="16">
        <f t="shared" si="17"/>
        <v>0</v>
      </c>
      <c r="F188" s="16">
        <f t="shared" si="18"/>
        <v>3500</v>
      </c>
      <c r="G188" s="17">
        <f>F188*(Constant!$B$11/365)</f>
        <v>256.98630136986304</v>
      </c>
      <c r="H188" s="16">
        <f>IF(F188&lt;'Manager''s Page'!$B$11,'Manager''s Page'!$B$14,0)</f>
        <v>0</v>
      </c>
      <c r="I188" s="17" cm="1">
        <f t="array" ref="I188">_xlfn.IFS(H188&lt;Constant!$A$3,0,H188&lt;Constant!$A$4,375,H188&lt;Constant!$A$5,275,H188&lt;Constant!$A$6,175)</f>
        <v>0</v>
      </c>
      <c r="J188" s="16">
        <f t="shared" si="19"/>
        <v>258</v>
      </c>
      <c r="K188" s="16">
        <f t="shared" si="20"/>
        <v>3500</v>
      </c>
      <c r="L188" s="14">
        <f t="shared" si="21"/>
        <v>258</v>
      </c>
      <c r="M188" s="44">
        <f t="shared" si="22"/>
        <v>3500</v>
      </c>
    </row>
    <row r="189" spans="1:13" x14ac:dyDescent="0.25">
      <c r="A189" s="14">
        <f>'Manager''s Page'!H189</f>
        <v>187</v>
      </c>
      <c r="B189" s="15">
        <f t="shared" si="23"/>
        <v>3500</v>
      </c>
      <c r="C189" s="16">
        <f>'Manager''s Page'!I189</f>
        <v>404</v>
      </c>
      <c r="D189" s="16">
        <f t="shared" si="16"/>
        <v>404</v>
      </c>
      <c r="E189" s="16">
        <f t="shared" si="17"/>
        <v>0</v>
      </c>
      <c r="F189" s="16">
        <f t="shared" si="18"/>
        <v>3096</v>
      </c>
      <c r="G189" s="17">
        <f>F189*(Constant!$B$11/365)</f>
        <v>227.32273972602741</v>
      </c>
      <c r="H189" s="16">
        <f>IF(F189&lt;'Manager''s Page'!$B$11,'Manager''s Page'!$B$14,0)</f>
        <v>0</v>
      </c>
      <c r="I189" s="17" cm="1">
        <f t="array" ref="I189">_xlfn.IFS(H189&lt;Constant!$A$3,0,H189&lt;Constant!$A$4,375,H189&lt;Constant!$A$5,275,H189&lt;Constant!$A$6,175)</f>
        <v>0</v>
      </c>
      <c r="J189" s="16">
        <f t="shared" si="19"/>
        <v>404</v>
      </c>
      <c r="K189" s="16">
        <f t="shared" si="20"/>
        <v>3096</v>
      </c>
      <c r="L189" s="14">
        <f t="shared" si="21"/>
        <v>404</v>
      </c>
      <c r="M189" s="44">
        <f t="shared" si="22"/>
        <v>3096</v>
      </c>
    </row>
    <row r="190" spans="1:13" x14ac:dyDescent="0.25">
      <c r="A190" s="14">
        <f>'Manager''s Page'!H190</f>
        <v>188</v>
      </c>
      <c r="B190" s="15">
        <f t="shared" si="23"/>
        <v>3096</v>
      </c>
      <c r="C190" s="16">
        <f>'Manager''s Page'!I190</f>
        <v>308</v>
      </c>
      <c r="D190" s="16">
        <f t="shared" si="16"/>
        <v>308</v>
      </c>
      <c r="E190" s="16">
        <f t="shared" si="17"/>
        <v>0</v>
      </c>
      <c r="F190" s="16">
        <f t="shared" si="18"/>
        <v>2788</v>
      </c>
      <c r="G190" s="17">
        <f>F190*(Constant!$B$11/365)</f>
        <v>204.70794520547946</v>
      </c>
      <c r="H190" s="16">
        <f>IF(F190&lt;'Manager''s Page'!$B$11,'Manager''s Page'!$B$14,0)</f>
        <v>0</v>
      </c>
      <c r="I190" s="17" cm="1">
        <f t="array" ref="I190">_xlfn.IFS(H190&lt;Constant!$A$3,0,H190&lt;Constant!$A$4,375,H190&lt;Constant!$A$5,275,H190&lt;Constant!$A$6,175)</f>
        <v>0</v>
      </c>
      <c r="J190" s="16">
        <f t="shared" si="19"/>
        <v>308</v>
      </c>
      <c r="K190" s="16">
        <f t="shared" si="20"/>
        <v>2788</v>
      </c>
      <c r="L190" s="14">
        <f t="shared" si="21"/>
        <v>308</v>
      </c>
      <c r="M190" s="44">
        <f t="shared" si="22"/>
        <v>2788</v>
      </c>
    </row>
    <row r="191" spans="1:13" x14ac:dyDescent="0.25">
      <c r="A191" s="14">
        <f>'Manager''s Page'!H191</f>
        <v>189</v>
      </c>
      <c r="B191" s="15">
        <f t="shared" si="23"/>
        <v>2788</v>
      </c>
      <c r="C191" s="16">
        <f>'Manager''s Page'!I191</f>
        <v>263</v>
      </c>
      <c r="D191" s="16">
        <f t="shared" si="16"/>
        <v>263</v>
      </c>
      <c r="E191" s="16">
        <f t="shared" si="17"/>
        <v>0</v>
      </c>
      <c r="F191" s="16">
        <f t="shared" si="18"/>
        <v>2525</v>
      </c>
      <c r="G191" s="17">
        <f>F191*(Constant!$B$11/365)</f>
        <v>185.39726027397262</v>
      </c>
      <c r="H191" s="16">
        <f>IF(F191&lt;'Manager''s Page'!$B$11,'Manager''s Page'!$B$14,0)</f>
        <v>0</v>
      </c>
      <c r="I191" s="17" cm="1">
        <f t="array" ref="I191">_xlfn.IFS(H191&lt;Constant!$A$3,0,H191&lt;Constant!$A$4,375,H191&lt;Constant!$A$5,275,H191&lt;Constant!$A$6,175)</f>
        <v>0</v>
      </c>
      <c r="J191" s="16">
        <f t="shared" si="19"/>
        <v>263</v>
      </c>
      <c r="K191" s="16">
        <f t="shared" si="20"/>
        <v>2525</v>
      </c>
      <c r="L191" s="14">
        <f t="shared" si="21"/>
        <v>263</v>
      </c>
      <c r="M191" s="44">
        <f t="shared" si="22"/>
        <v>2525</v>
      </c>
    </row>
    <row r="192" spans="1:13" x14ac:dyDescent="0.25">
      <c r="A192" s="14">
        <f>'Manager''s Page'!H192</f>
        <v>190</v>
      </c>
      <c r="B192" s="15">
        <f t="shared" si="23"/>
        <v>2525</v>
      </c>
      <c r="C192" s="16">
        <f>'Manager''s Page'!I192</f>
        <v>265</v>
      </c>
      <c r="D192" s="16">
        <f t="shared" si="16"/>
        <v>265</v>
      </c>
      <c r="E192" s="16">
        <f t="shared" si="17"/>
        <v>0</v>
      </c>
      <c r="F192" s="16">
        <f t="shared" si="18"/>
        <v>2260</v>
      </c>
      <c r="G192" s="17">
        <f>F192*(Constant!$B$11/365)</f>
        <v>165.93972602739728</v>
      </c>
      <c r="H192" s="16">
        <f>IF(F192&lt;'Manager''s Page'!$B$11,'Manager''s Page'!$B$14,0)</f>
        <v>0</v>
      </c>
      <c r="I192" s="17" cm="1">
        <f t="array" ref="I192">_xlfn.IFS(H192&lt;Constant!$A$3,0,H192&lt;Constant!$A$4,375,H192&lt;Constant!$A$5,275,H192&lt;Constant!$A$6,175)</f>
        <v>0</v>
      </c>
      <c r="J192" s="16">
        <f t="shared" si="19"/>
        <v>265</v>
      </c>
      <c r="K192" s="16">
        <f t="shared" si="20"/>
        <v>2260</v>
      </c>
      <c r="L192" s="14">
        <f t="shared" si="21"/>
        <v>265</v>
      </c>
      <c r="M192" s="44">
        <f t="shared" si="22"/>
        <v>2260</v>
      </c>
    </row>
    <row r="193" spans="1:13" x14ac:dyDescent="0.25">
      <c r="A193" s="14">
        <f>'Manager''s Page'!H193</f>
        <v>191</v>
      </c>
      <c r="B193" s="15">
        <f t="shared" si="23"/>
        <v>2260</v>
      </c>
      <c r="C193" s="16">
        <f>'Manager''s Page'!I193</f>
        <v>509</v>
      </c>
      <c r="D193" s="16">
        <f t="shared" si="16"/>
        <v>509</v>
      </c>
      <c r="E193" s="16">
        <f t="shared" si="17"/>
        <v>0</v>
      </c>
      <c r="F193" s="16">
        <f t="shared" si="18"/>
        <v>1751</v>
      </c>
      <c r="G193" s="17">
        <f>F193*(Constant!$B$11/365)</f>
        <v>128.56657534246577</v>
      </c>
      <c r="H193" s="16">
        <f>IF(F193&lt;'Manager''s Page'!$B$11,'Manager''s Page'!$B$14,0)</f>
        <v>0</v>
      </c>
      <c r="I193" s="17" cm="1">
        <f t="array" ref="I193">_xlfn.IFS(H193&lt;Constant!$A$3,0,H193&lt;Constant!$A$4,375,H193&lt;Constant!$A$5,275,H193&lt;Constant!$A$6,175)</f>
        <v>0</v>
      </c>
      <c r="J193" s="16">
        <f t="shared" si="19"/>
        <v>509</v>
      </c>
      <c r="K193" s="16">
        <f t="shared" si="20"/>
        <v>1751</v>
      </c>
      <c r="L193" s="14">
        <f t="shared" si="21"/>
        <v>509</v>
      </c>
      <c r="M193" s="44">
        <f t="shared" si="22"/>
        <v>1751</v>
      </c>
    </row>
    <row r="194" spans="1:13" x14ac:dyDescent="0.25">
      <c r="A194" s="14">
        <f>'Manager''s Page'!H194</f>
        <v>192</v>
      </c>
      <c r="B194" s="15">
        <f t="shared" si="23"/>
        <v>1751</v>
      </c>
      <c r="C194" s="16">
        <f>'Manager''s Page'!I194</f>
        <v>460</v>
      </c>
      <c r="D194" s="16">
        <f t="shared" si="16"/>
        <v>460</v>
      </c>
      <c r="E194" s="16">
        <f t="shared" si="17"/>
        <v>0</v>
      </c>
      <c r="F194" s="16">
        <f t="shared" si="18"/>
        <v>1291</v>
      </c>
      <c r="G194" s="17">
        <f>F194*(Constant!$B$11/365)</f>
        <v>94.791232876712343</v>
      </c>
      <c r="H194" s="16">
        <f>IF(F194&lt;'Manager''s Page'!$B$11,'Manager''s Page'!$B$14,0)</f>
        <v>0</v>
      </c>
      <c r="I194" s="17" cm="1">
        <f t="array" ref="I194">_xlfn.IFS(H194&lt;Constant!$A$3,0,H194&lt;Constant!$A$4,375,H194&lt;Constant!$A$5,275,H194&lt;Constant!$A$6,175)</f>
        <v>0</v>
      </c>
      <c r="J194" s="16">
        <f t="shared" si="19"/>
        <v>460</v>
      </c>
      <c r="K194" s="16">
        <f t="shared" si="20"/>
        <v>1291</v>
      </c>
      <c r="L194" s="14">
        <f t="shared" si="21"/>
        <v>460</v>
      </c>
      <c r="M194" s="44">
        <f t="shared" si="22"/>
        <v>1291</v>
      </c>
    </row>
    <row r="195" spans="1:13" x14ac:dyDescent="0.25">
      <c r="A195" s="14">
        <f>'Manager''s Page'!H195</f>
        <v>193</v>
      </c>
      <c r="B195" s="15">
        <f t="shared" si="23"/>
        <v>1291</v>
      </c>
      <c r="C195" s="16">
        <f>'Manager''s Page'!I195</f>
        <v>354</v>
      </c>
      <c r="D195" s="16">
        <f t="shared" si="16"/>
        <v>354</v>
      </c>
      <c r="E195" s="16">
        <f t="shared" si="17"/>
        <v>0</v>
      </c>
      <c r="F195" s="16">
        <f t="shared" si="18"/>
        <v>937</v>
      </c>
      <c r="G195" s="17">
        <f>F195*(Constant!$B$11/365)</f>
        <v>68.798904109589046</v>
      </c>
      <c r="H195" s="16">
        <f>IF(F195&lt;'Manager''s Page'!$B$11,'Manager''s Page'!$B$14,0)</f>
        <v>0</v>
      </c>
      <c r="I195" s="17" cm="1">
        <f t="array" ref="I195">_xlfn.IFS(H195&lt;Constant!$A$3,0,H195&lt;Constant!$A$4,375,H195&lt;Constant!$A$5,275,H195&lt;Constant!$A$6,175)</f>
        <v>0</v>
      </c>
      <c r="J195" s="16">
        <f t="shared" si="19"/>
        <v>354</v>
      </c>
      <c r="K195" s="16">
        <f t="shared" si="20"/>
        <v>937</v>
      </c>
      <c r="L195" s="14">
        <f t="shared" si="21"/>
        <v>354</v>
      </c>
      <c r="M195" s="44">
        <f t="shared" si="22"/>
        <v>937</v>
      </c>
    </row>
    <row r="196" spans="1:13" x14ac:dyDescent="0.25">
      <c r="A196" s="14">
        <f>'Manager''s Page'!H196</f>
        <v>194</v>
      </c>
      <c r="B196" s="15">
        <f t="shared" si="23"/>
        <v>937</v>
      </c>
      <c r="C196" s="16">
        <f>'Manager''s Page'!I196</f>
        <v>923</v>
      </c>
      <c r="D196" s="16">
        <f t="shared" ref="D196:D259" si="24">IF(B196&gt;C196,C196,B196)</f>
        <v>923</v>
      </c>
      <c r="E196" s="16">
        <f t="shared" ref="E196:E259" si="25">C196-D196</f>
        <v>0</v>
      </c>
      <c r="F196" s="16">
        <f t="shared" ref="F196:F259" si="26">B196-D196</f>
        <v>14</v>
      </c>
      <c r="G196" s="17">
        <f>F196*(Constant!$B$11/365)</f>
        <v>1.0279452054794522</v>
      </c>
      <c r="H196" s="16">
        <f>IF(F196&lt;'Manager''s Page'!$B$11,'Manager''s Page'!$B$14,0)</f>
        <v>5000</v>
      </c>
      <c r="I196" s="17" cm="1">
        <f t="array" ref="I196">_xlfn.IFS(H196&lt;Constant!$A$3,0,H196&lt;Constant!$A$4,375,H196&lt;Constant!$A$5,275,H196&lt;Constant!$A$6,175)</f>
        <v>275</v>
      </c>
      <c r="J196" s="16">
        <f t="shared" ref="J196:J259" si="27">C196</f>
        <v>923</v>
      </c>
      <c r="K196" s="16">
        <f t="shared" ref="K196:K259" si="28">F196</f>
        <v>14</v>
      </c>
      <c r="L196" s="14">
        <f t="shared" ref="L196:L259" si="29">IF(L$2=TRUE,J196,NA())</f>
        <v>923</v>
      </c>
      <c r="M196" s="44">
        <f t="shared" ref="M196:M259" si="30">IF(M$2=TRUE,K196,NA())</f>
        <v>14</v>
      </c>
    </row>
    <row r="197" spans="1:13" x14ac:dyDescent="0.25">
      <c r="A197" s="14">
        <f>'Manager''s Page'!H197</f>
        <v>195</v>
      </c>
      <c r="B197" s="15">
        <f t="shared" ref="B197:B260" si="31">F196+H196</f>
        <v>5014</v>
      </c>
      <c r="C197" s="16">
        <f>'Manager''s Page'!I197</f>
        <v>671</v>
      </c>
      <c r="D197" s="16">
        <f t="shared" si="24"/>
        <v>671</v>
      </c>
      <c r="E197" s="16">
        <f t="shared" si="25"/>
        <v>0</v>
      </c>
      <c r="F197" s="16">
        <f t="shared" si="26"/>
        <v>4343</v>
      </c>
      <c r="G197" s="17">
        <f>F197*(Constant!$B$11/365)</f>
        <v>318.88328767123289</v>
      </c>
      <c r="H197" s="16">
        <f>IF(F197&lt;'Manager''s Page'!$B$11,'Manager''s Page'!$B$14,0)</f>
        <v>0</v>
      </c>
      <c r="I197" s="17" cm="1">
        <f t="array" ref="I197">_xlfn.IFS(H197&lt;Constant!$A$3,0,H197&lt;Constant!$A$4,375,H197&lt;Constant!$A$5,275,H197&lt;Constant!$A$6,175)</f>
        <v>0</v>
      </c>
      <c r="J197" s="16">
        <f t="shared" si="27"/>
        <v>671</v>
      </c>
      <c r="K197" s="16">
        <f t="shared" si="28"/>
        <v>4343</v>
      </c>
      <c r="L197" s="14">
        <f t="shared" si="29"/>
        <v>671</v>
      </c>
      <c r="M197" s="44">
        <f t="shared" si="30"/>
        <v>4343</v>
      </c>
    </row>
    <row r="198" spans="1:13" x14ac:dyDescent="0.25">
      <c r="A198" s="14">
        <f>'Manager''s Page'!H198</f>
        <v>196</v>
      </c>
      <c r="B198" s="15">
        <f t="shared" si="31"/>
        <v>4343</v>
      </c>
      <c r="C198" s="16">
        <f>'Manager''s Page'!I198</f>
        <v>209</v>
      </c>
      <c r="D198" s="16">
        <f t="shared" si="24"/>
        <v>209</v>
      </c>
      <c r="E198" s="16">
        <f t="shared" si="25"/>
        <v>0</v>
      </c>
      <c r="F198" s="16">
        <f t="shared" si="26"/>
        <v>4134</v>
      </c>
      <c r="G198" s="17">
        <f>F198*(Constant!$B$11/365)</f>
        <v>303.53753424657538</v>
      </c>
      <c r="H198" s="16">
        <f>IF(F198&lt;'Manager''s Page'!$B$11,'Manager''s Page'!$B$14,0)</f>
        <v>0</v>
      </c>
      <c r="I198" s="17" cm="1">
        <f t="array" ref="I198">_xlfn.IFS(H198&lt;Constant!$A$3,0,H198&lt;Constant!$A$4,375,H198&lt;Constant!$A$5,275,H198&lt;Constant!$A$6,175)</f>
        <v>0</v>
      </c>
      <c r="J198" s="16">
        <f t="shared" si="27"/>
        <v>209</v>
      </c>
      <c r="K198" s="16">
        <f t="shared" si="28"/>
        <v>4134</v>
      </c>
      <c r="L198" s="14">
        <f t="shared" si="29"/>
        <v>209</v>
      </c>
      <c r="M198" s="44">
        <f t="shared" si="30"/>
        <v>4134</v>
      </c>
    </row>
    <row r="199" spans="1:13" x14ac:dyDescent="0.25">
      <c r="A199" s="14">
        <f>'Manager''s Page'!H199</f>
        <v>197</v>
      </c>
      <c r="B199" s="15">
        <f t="shared" si="31"/>
        <v>4134</v>
      </c>
      <c r="C199" s="16">
        <f>'Manager''s Page'!I199</f>
        <v>631</v>
      </c>
      <c r="D199" s="16">
        <f t="shared" si="24"/>
        <v>631</v>
      </c>
      <c r="E199" s="16">
        <f t="shared" si="25"/>
        <v>0</v>
      </c>
      <c r="F199" s="16">
        <f t="shared" si="26"/>
        <v>3503</v>
      </c>
      <c r="G199" s="17">
        <f>F199*(Constant!$B$11/365)</f>
        <v>257.20657534246578</v>
      </c>
      <c r="H199" s="16">
        <f>IF(F199&lt;'Manager''s Page'!$B$11,'Manager''s Page'!$B$14,0)</f>
        <v>0</v>
      </c>
      <c r="I199" s="17" cm="1">
        <f t="array" ref="I199">_xlfn.IFS(H199&lt;Constant!$A$3,0,H199&lt;Constant!$A$4,375,H199&lt;Constant!$A$5,275,H199&lt;Constant!$A$6,175)</f>
        <v>0</v>
      </c>
      <c r="J199" s="16">
        <f t="shared" si="27"/>
        <v>631</v>
      </c>
      <c r="K199" s="16">
        <f t="shared" si="28"/>
        <v>3503</v>
      </c>
      <c r="L199" s="14">
        <f t="shared" si="29"/>
        <v>631</v>
      </c>
      <c r="M199" s="44">
        <f t="shared" si="30"/>
        <v>3503</v>
      </c>
    </row>
    <row r="200" spans="1:13" x14ac:dyDescent="0.25">
      <c r="A200" s="14">
        <f>'Manager''s Page'!H200</f>
        <v>198</v>
      </c>
      <c r="B200" s="15">
        <f t="shared" si="31"/>
        <v>3503</v>
      </c>
      <c r="C200" s="16">
        <f>'Manager''s Page'!I200</f>
        <v>504</v>
      </c>
      <c r="D200" s="16">
        <f t="shared" si="24"/>
        <v>504</v>
      </c>
      <c r="E200" s="16">
        <f t="shared" si="25"/>
        <v>0</v>
      </c>
      <c r="F200" s="16">
        <f t="shared" si="26"/>
        <v>2999</v>
      </c>
      <c r="G200" s="17">
        <f>F200*(Constant!$B$11/365)</f>
        <v>220.2005479452055</v>
      </c>
      <c r="H200" s="16">
        <f>IF(F200&lt;'Manager''s Page'!$B$11,'Manager''s Page'!$B$14,0)</f>
        <v>0</v>
      </c>
      <c r="I200" s="17" cm="1">
        <f t="array" ref="I200">_xlfn.IFS(H200&lt;Constant!$A$3,0,H200&lt;Constant!$A$4,375,H200&lt;Constant!$A$5,275,H200&lt;Constant!$A$6,175)</f>
        <v>0</v>
      </c>
      <c r="J200" s="16">
        <f t="shared" si="27"/>
        <v>504</v>
      </c>
      <c r="K200" s="16">
        <f t="shared" si="28"/>
        <v>2999</v>
      </c>
      <c r="L200" s="14">
        <f t="shared" si="29"/>
        <v>504</v>
      </c>
      <c r="M200" s="44">
        <f t="shared" si="30"/>
        <v>2999</v>
      </c>
    </row>
    <row r="201" spans="1:13" x14ac:dyDescent="0.25">
      <c r="A201" s="14">
        <f>'Manager''s Page'!H201</f>
        <v>199</v>
      </c>
      <c r="B201" s="15">
        <f t="shared" si="31"/>
        <v>2999</v>
      </c>
      <c r="C201" s="16">
        <f>'Manager''s Page'!I201</f>
        <v>236</v>
      </c>
      <c r="D201" s="16">
        <f t="shared" si="24"/>
        <v>236</v>
      </c>
      <c r="E201" s="16">
        <f t="shared" si="25"/>
        <v>0</v>
      </c>
      <c r="F201" s="16">
        <f t="shared" si="26"/>
        <v>2763</v>
      </c>
      <c r="G201" s="17">
        <f>F201*(Constant!$B$11/365)</f>
        <v>202.87232876712329</v>
      </c>
      <c r="H201" s="16">
        <f>IF(F201&lt;'Manager''s Page'!$B$11,'Manager''s Page'!$B$14,0)</f>
        <v>0</v>
      </c>
      <c r="I201" s="17" cm="1">
        <f t="array" ref="I201">_xlfn.IFS(H201&lt;Constant!$A$3,0,H201&lt;Constant!$A$4,375,H201&lt;Constant!$A$5,275,H201&lt;Constant!$A$6,175)</f>
        <v>0</v>
      </c>
      <c r="J201" s="16">
        <f t="shared" si="27"/>
        <v>236</v>
      </c>
      <c r="K201" s="16">
        <f t="shared" si="28"/>
        <v>2763</v>
      </c>
      <c r="L201" s="14">
        <f t="shared" si="29"/>
        <v>236</v>
      </c>
      <c r="M201" s="44">
        <f t="shared" si="30"/>
        <v>2763</v>
      </c>
    </row>
    <row r="202" spans="1:13" x14ac:dyDescent="0.25">
      <c r="A202" s="14">
        <f>'Manager''s Page'!H202</f>
        <v>200</v>
      </c>
      <c r="B202" s="15">
        <f t="shared" si="31"/>
        <v>2763</v>
      </c>
      <c r="C202" s="16">
        <f>'Manager''s Page'!I202</f>
        <v>794</v>
      </c>
      <c r="D202" s="16">
        <f t="shared" si="24"/>
        <v>794</v>
      </c>
      <c r="E202" s="16">
        <f t="shared" si="25"/>
        <v>0</v>
      </c>
      <c r="F202" s="16">
        <f t="shared" si="26"/>
        <v>1969</v>
      </c>
      <c r="G202" s="17">
        <f>F202*(Constant!$B$11/365)</f>
        <v>144.57315068493153</v>
      </c>
      <c r="H202" s="16">
        <f>IF(F202&lt;'Manager''s Page'!$B$11,'Manager''s Page'!$B$14,0)</f>
        <v>0</v>
      </c>
      <c r="I202" s="17" cm="1">
        <f t="array" ref="I202">_xlfn.IFS(H202&lt;Constant!$A$3,0,H202&lt;Constant!$A$4,375,H202&lt;Constant!$A$5,275,H202&lt;Constant!$A$6,175)</f>
        <v>0</v>
      </c>
      <c r="J202" s="16">
        <f t="shared" si="27"/>
        <v>794</v>
      </c>
      <c r="K202" s="16">
        <f t="shared" si="28"/>
        <v>1969</v>
      </c>
      <c r="L202" s="14">
        <f t="shared" si="29"/>
        <v>794</v>
      </c>
      <c r="M202" s="44">
        <f t="shared" si="30"/>
        <v>1969</v>
      </c>
    </row>
    <row r="203" spans="1:13" x14ac:dyDescent="0.25">
      <c r="A203" s="14">
        <f>'Manager''s Page'!H203</f>
        <v>201</v>
      </c>
      <c r="B203" s="15">
        <f t="shared" si="31"/>
        <v>1969</v>
      </c>
      <c r="C203" s="16">
        <f>'Manager''s Page'!I203</f>
        <v>244</v>
      </c>
      <c r="D203" s="16">
        <f t="shared" si="24"/>
        <v>244</v>
      </c>
      <c r="E203" s="16">
        <f t="shared" si="25"/>
        <v>0</v>
      </c>
      <c r="F203" s="16">
        <f t="shared" si="26"/>
        <v>1725</v>
      </c>
      <c r="G203" s="17">
        <f>F203*(Constant!$B$11/365)</f>
        <v>126.65753424657535</v>
      </c>
      <c r="H203" s="16">
        <f>IF(F203&lt;'Manager''s Page'!$B$11,'Manager''s Page'!$B$14,0)</f>
        <v>0</v>
      </c>
      <c r="I203" s="17" cm="1">
        <f t="array" ref="I203">_xlfn.IFS(H203&lt;Constant!$A$3,0,H203&lt;Constant!$A$4,375,H203&lt;Constant!$A$5,275,H203&lt;Constant!$A$6,175)</f>
        <v>0</v>
      </c>
      <c r="J203" s="16">
        <f t="shared" si="27"/>
        <v>244</v>
      </c>
      <c r="K203" s="16">
        <f t="shared" si="28"/>
        <v>1725</v>
      </c>
      <c r="L203" s="14">
        <f t="shared" si="29"/>
        <v>244</v>
      </c>
      <c r="M203" s="44">
        <f t="shared" si="30"/>
        <v>1725</v>
      </c>
    </row>
    <row r="204" spans="1:13" x14ac:dyDescent="0.25">
      <c r="A204" s="14">
        <f>'Manager''s Page'!H204</f>
        <v>202</v>
      </c>
      <c r="B204" s="15">
        <f t="shared" si="31"/>
        <v>1725</v>
      </c>
      <c r="C204" s="16">
        <f>'Manager''s Page'!I204</f>
        <v>677</v>
      </c>
      <c r="D204" s="16">
        <f t="shared" si="24"/>
        <v>677</v>
      </c>
      <c r="E204" s="16">
        <f t="shared" si="25"/>
        <v>0</v>
      </c>
      <c r="F204" s="16">
        <f t="shared" si="26"/>
        <v>1048</v>
      </c>
      <c r="G204" s="17">
        <f>F204*(Constant!$B$11/365)</f>
        <v>76.949041095890422</v>
      </c>
      <c r="H204" s="16">
        <f>IF(F204&lt;'Manager''s Page'!$B$11,'Manager''s Page'!$B$14,0)</f>
        <v>0</v>
      </c>
      <c r="I204" s="17" cm="1">
        <f t="array" ref="I204">_xlfn.IFS(H204&lt;Constant!$A$3,0,H204&lt;Constant!$A$4,375,H204&lt;Constant!$A$5,275,H204&lt;Constant!$A$6,175)</f>
        <v>0</v>
      </c>
      <c r="J204" s="16">
        <f t="shared" si="27"/>
        <v>677</v>
      </c>
      <c r="K204" s="16">
        <f t="shared" si="28"/>
        <v>1048</v>
      </c>
      <c r="L204" s="14">
        <f t="shared" si="29"/>
        <v>677</v>
      </c>
      <c r="M204" s="44">
        <f t="shared" si="30"/>
        <v>1048</v>
      </c>
    </row>
    <row r="205" spans="1:13" x14ac:dyDescent="0.25">
      <c r="A205" s="14">
        <f>'Manager''s Page'!H205</f>
        <v>203</v>
      </c>
      <c r="B205" s="15">
        <f t="shared" si="31"/>
        <v>1048</v>
      </c>
      <c r="C205" s="16">
        <f>'Manager''s Page'!I205</f>
        <v>395</v>
      </c>
      <c r="D205" s="16">
        <f t="shared" si="24"/>
        <v>395</v>
      </c>
      <c r="E205" s="16">
        <f t="shared" si="25"/>
        <v>0</v>
      </c>
      <c r="F205" s="16">
        <f t="shared" si="26"/>
        <v>653</v>
      </c>
      <c r="G205" s="17">
        <f>F205*(Constant!$B$11/365)</f>
        <v>47.946301369863015</v>
      </c>
      <c r="H205" s="16">
        <f>IF(F205&lt;'Manager''s Page'!$B$11,'Manager''s Page'!$B$14,0)</f>
        <v>0</v>
      </c>
      <c r="I205" s="17" cm="1">
        <f t="array" ref="I205">_xlfn.IFS(H205&lt;Constant!$A$3,0,H205&lt;Constant!$A$4,375,H205&lt;Constant!$A$5,275,H205&lt;Constant!$A$6,175)</f>
        <v>0</v>
      </c>
      <c r="J205" s="16">
        <f t="shared" si="27"/>
        <v>395</v>
      </c>
      <c r="K205" s="16">
        <f t="shared" si="28"/>
        <v>653</v>
      </c>
      <c r="L205" s="14">
        <f t="shared" si="29"/>
        <v>395</v>
      </c>
      <c r="M205" s="44">
        <f t="shared" si="30"/>
        <v>653</v>
      </c>
    </row>
    <row r="206" spans="1:13" x14ac:dyDescent="0.25">
      <c r="A206" s="14">
        <f>'Manager''s Page'!H206</f>
        <v>204</v>
      </c>
      <c r="B206" s="15">
        <f t="shared" si="31"/>
        <v>653</v>
      </c>
      <c r="C206" s="16">
        <f>'Manager''s Page'!I206</f>
        <v>421</v>
      </c>
      <c r="D206" s="16">
        <f t="shared" si="24"/>
        <v>421</v>
      </c>
      <c r="E206" s="16">
        <f t="shared" si="25"/>
        <v>0</v>
      </c>
      <c r="F206" s="16">
        <f t="shared" si="26"/>
        <v>232</v>
      </c>
      <c r="G206" s="17">
        <f>F206*(Constant!$B$11/365)</f>
        <v>17.034520547945206</v>
      </c>
      <c r="H206" s="16">
        <f>IF(F206&lt;'Manager''s Page'!$B$11,'Manager''s Page'!$B$14,0)</f>
        <v>5000</v>
      </c>
      <c r="I206" s="17" cm="1">
        <f t="array" ref="I206">_xlfn.IFS(H206&lt;Constant!$A$3,0,H206&lt;Constant!$A$4,375,H206&lt;Constant!$A$5,275,H206&lt;Constant!$A$6,175)</f>
        <v>275</v>
      </c>
      <c r="J206" s="16">
        <f t="shared" si="27"/>
        <v>421</v>
      </c>
      <c r="K206" s="16">
        <f t="shared" si="28"/>
        <v>232</v>
      </c>
      <c r="L206" s="14">
        <f t="shared" si="29"/>
        <v>421</v>
      </c>
      <c r="M206" s="44">
        <f t="shared" si="30"/>
        <v>232</v>
      </c>
    </row>
    <row r="207" spans="1:13" x14ac:dyDescent="0.25">
      <c r="A207" s="14">
        <f>'Manager''s Page'!H207</f>
        <v>205</v>
      </c>
      <c r="B207" s="15">
        <f t="shared" si="31"/>
        <v>5232</v>
      </c>
      <c r="C207" s="16">
        <f>'Manager''s Page'!I207</f>
        <v>429</v>
      </c>
      <c r="D207" s="16">
        <f t="shared" si="24"/>
        <v>429</v>
      </c>
      <c r="E207" s="16">
        <f t="shared" si="25"/>
        <v>0</v>
      </c>
      <c r="F207" s="16">
        <f t="shared" si="26"/>
        <v>4803</v>
      </c>
      <c r="G207" s="17">
        <f>F207*(Constant!$B$11/365)</f>
        <v>352.65863013698635</v>
      </c>
      <c r="H207" s="16">
        <f>IF(F207&lt;'Manager''s Page'!$B$11,'Manager''s Page'!$B$14,0)</f>
        <v>0</v>
      </c>
      <c r="I207" s="17" cm="1">
        <f t="array" ref="I207">_xlfn.IFS(H207&lt;Constant!$A$3,0,H207&lt;Constant!$A$4,375,H207&lt;Constant!$A$5,275,H207&lt;Constant!$A$6,175)</f>
        <v>0</v>
      </c>
      <c r="J207" s="16">
        <f t="shared" si="27"/>
        <v>429</v>
      </c>
      <c r="K207" s="16">
        <f t="shared" si="28"/>
        <v>4803</v>
      </c>
      <c r="L207" s="14">
        <f t="shared" si="29"/>
        <v>429</v>
      </c>
      <c r="M207" s="44">
        <f t="shared" si="30"/>
        <v>4803</v>
      </c>
    </row>
    <row r="208" spans="1:13" x14ac:dyDescent="0.25">
      <c r="A208" s="14">
        <f>'Manager''s Page'!H208</f>
        <v>206</v>
      </c>
      <c r="B208" s="15">
        <f t="shared" si="31"/>
        <v>4803</v>
      </c>
      <c r="C208" s="16">
        <f>'Manager''s Page'!I208</f>
        <v>883</v>
      </c>
      <c r="D208" s="16">
        <f t="shared" si="24"/>
        <v>883</v>
      </c>
      <c r="E208" s="16">
        <f t="shared" si="25"/>
        <v>0</v>
      </c>
      <c r="F208" s="16">
        <f t="shared" si="26"/>
        <v>3920</v>
      </c>
      <c r="G208" s="17">
        <f>F208*(Constant!$B$11/365)</f>
        <v>287.82465753424663</v>
      </c>
      <c r="H208" s="16">
        <f>IF(F208&lt;'Manager''s Page'!$B$11,'Manager''s Page'!$B$14,0)</f>
        <v>0</v>
      </c>
      <c r="I208" s="17" cm="1">
        <f t="array" ref="I208">_xlfn.IFS(H208&lt;Constant!$A$3,0,H208&lt;Constant!$A$4,375,H208&lt;Constant!$A$5,275,H208&lt;Constant!$A$6,175)</f>
        <v>0</v>
      </c>
      <c r="J208" s="16">
        <f t="shared" si="27"/>
        <v>883</v>
      </c>
      <c r="K208" s="16">
        <f t="shared" si="28"/>
        <v>3920</v>
      </c>
      <c r="L208" s="14">
        <f t="shared" si="29"/>
        <v>883</v>
      </c>
      <c r="M208" s="44">
        <f t="shared" si="30"/>
        <v>3920</v>
      </c>
    </row>
    <row r="209" spans="1:13" x14ac:dyDescent="0.25">
      <c r="A209" s="14">
        <f>'Manager''s Page'!H209</f>
        <v>207</v>
      </c>
      <c r="B209" s="15">
        <f t="shared" si="31"/>
        <v>3920</v>
      </c>
      <c r="C209" s="16">
        <f>'Manager''s Page'!I209</f>
        <v>467</v>
      </c>
      <c r="D209" s="16">
        <f t="shared" si="24"/>
        <v>467</v>
      </c>
      <c r="E209" s="16">
        <f t="shared" si="25"/>
        <v>0</v>
      </c>
      <c r="F209" s="16">
        <f t="shared" si="26"/>
        <v>3453</v>
      </c>
      <c r="G209" s="17">
        <f>F209*(Constant!$B$11/365)</f>
        <v>253.53534246575344</v>
      </c>
      <c r="H209" s="16">
        <f>IF(F209&lt;'Manager''s Page'!$B$11,'Manager''s Page'!$B$14,0)</f>
        <v>0</v>
      </c>
      <c r="I209" s="17" cm="1">
        <f t="array" ref="I209">_xlfn.IFS(H209&lt;Constant!$A$3,0,H209&lt;Constant!$A$4,375,H209&lt;Constant!$A$5,275,H209&lt;Constant!$A$6,175)</f>
        <v>0</v>
      </c>
      <c r="J209" s="16">
        <f t="shared" si="27"/>
        <v>467</v>
      </c>
      <c r="K209" s="16">
        <f t="shared" si="28"/>
        <v>3453</v>
      </c>
      <c r="L209" s="14">
        <f t="shared" si="29"/>
        <v>467</v>
      </c>
      <c r="M209" s="44">
        <f t="shared" si="30"/>
        <v>3453</v>
      </c>
    </row>
    <row r="210" spans="1:13" x14ac:dyDescent="0.25">
      <c r="A210" s="14">
        <f>'Manager''s Page'!H210</f>
        <v>208</v>
      </c>
      <c r="B210" s="15">
        <f t="shared" si="31"/>
        <v>3453</v>
      </c>
      <c r="C210" s="16">
        <f>'Manager''s Page'!I210</f>
        <v>233</v>
      </c>
      <c r="D210" s="16">
        <f t="shared" si="24"/>
        <v>233</v>
      </c>
      <c r="E210" s="16">
        <f t="shared" si="25"/>
        <v>0</v>
      </c>
      <c r="F210" s="16">
        <f t="shared" si="26"/>
        <v>3220</v>
      </c>
      <c r="G210" s="17">
        <f>F210*(Constant!$B$11/365)</f>
        <v>236.42739726027401</v>
      </c>
      <c r="H210" s="16">
        <f>IF(F210&lt;'Manager''s Page'!$B$11,'Manager''s Page'!$B$14,0)</f>
        <v>0</v>
      </c>
      <c r="I210" s="17" cm="1">
        <f t="array" ref="I210">_xlfn.IFS(H210&lt;Constant!$A$3,0,H210&lt;Constant!$A$4,375,H210&lt;Constant!$A$5,275,H210&lt;Constant!$A$6,175)</f>
        <v>0</v>
      </c>
      <c r="J210" s="16">
        <f t="shared" si="27"/>
        <v>233</v>
      </c>
      <c r="K210" s="16">
        <f t="shared" si="28"/>
        <v>3220</v>
      </c>
      <c r="L210" s="14">
        <f t="shared" si="29"/>
        <v>233</v>
      </c>
      <c r="M210" s="44">
        <f t="shared" si="30"/>
        <v>3220</v>
      </c>
    </row>
    <row r="211" spans="1:13" x14ac:dyDescent="0.25">
      <c r="A211" s="14">
        <f>'Manager''s Page'!H211</f>
        <v>209</v>
      </c>
      <c r="B211" s="15">
        <f t="shared" si="31"/>
        <v>3220</v>
      </c>
      <c r="C211" s="16">
        <f>'Manager''s Page'!I211</f>
        <v>725</v>
      </c>
      <c r="D211" s="16">
        <f t="shared" si="24"/>
        <v>725</v>
      </c>
      <c r="E211" s="16">
        <f t="shared" si="25"/>
        <v>0</v>
      </c>
      <c r="F211" s="16">
        <f t="shared" si="26"/>
        <v>2495</v>
      </c>
      <c r="G211" s="17">
        <f>F211*(Constant!$B$11/365)</f>
        <v>183.19452054794522</v>
      </c>
      <c r="H211" s="16">
        <f>IF(F211&lt;'Manager''s Page'!$B$11,'Manager''s Page'!$B$14,0)</f>
        <v>0</v>
      </c>
      <c r="I211" s="17" cm="1">
        <f t="array" ref="I211">_xlfn.IFS(H211&lt;Constant!$A$3,0,H211&lt;Constant!$A$4,375,H211&lt;Constant!$A$5,275,H211&lt;Constant!$A$6,175)</f>
        <v>0</v>
      </c>
      <c r="J211" s="16">
        <f t="shared" si="27"/>
        <v>725</v>
      </c>
      <c r="K211" s="16">
        <f t="shared" si="28"/>
        <v>2495</v>
      </c>
      <c r="L211" s="14">
        <f t="shared" si="29"/>
        <v>725</v>
      </c>
      <c r="M211" s="44">
        <f t="shared" si="30"/>
        <v>2495</v>
      </c>
    </row>
    <row r="212" spans="1:13" x14ac:dyDescent="0.25">
      <c r="A212" s="14">
        <f>'Manager''s Page'!H212</f>
        <v>210</v>
      </c>
      <c r="B212" s="15">
        <f t="shared" si="31"/>
        <v>2495</v>
      </c>
      <c r="C212" s="16">
        <f>'Manager''s Page'!I212</f>
        <v>321</v>
      </c>
      <c r="D212" s="16">
        <f t="shared" si="24"/>
        <v>321</v>
      </c>
      <c r="E212" s="16">
        <f t="shared" si="25"/>
        <v>0</v>
      </c>
      <c r="F212" s="16">
        <f t="shared" si="26"/>
        <v>2174</v>
      </c>
      <c r="G212" s="17">
        <f>F212*(Constant!$B$11/365)</f>
        <v>159.62520547945206</v>
      </c>
      <c r="H212" s="16">
        <f>IF(F212&lt;'Manager''s Page'!$B$11,'Manager''s Page'!$B$14,0)</f>
        <v>0</v>
      </c>
      <c r="I212" s="17" cm="1">
        <f t="array" ref="I212">_xlfn.IFS(H212&lt;Constant!$A$3,0,H212&lt;Constant!$A$4,375,H212&lt;Constant!$A$5,275,H212&lt;Constant!$A$6,175)</f>
        <v>0</v>
      </c>
      <c r="J212" s="16">
        <f t="shared" si="27"/>
        <v>321</v>
      </c>
      <c r="K212" s="16">
        <f t="shared" si="28"/>
        <v>2174</v>
      </c>
      <c r="L212" s="14">
        <f t="shared" si="29"/>
        <v>321</v>
      </c>
      <c r="M212" s="44">
        <f t="shared" si="30"/>
        <v>2174</v>
      </c>
    </row>
    <row r="213" spans="1:13" x14ac:dyDescent="0.25">
      <c r="A213" s="14">
        <f>'Manager''s Page'!H213</f>
        <v>211</v>
      </c>
      <c r="B213" s="15">
        <f t="shared" si="31"/>
        <v>2174</v>
      </c>
      <c r="C213" s="16">
        <f>'Manager''s Page'!I213</f>
        <v>882</v>
      </c>
      <c r="D213" s="16">
        <f t="shared" si="24"/>
        <v>882</v>
      </c>
      <c r="E213" s="16">
        <f t="shared" si="25"/>
        <v>0</v>
      </c>
      <c r="F213" s="16">
        <f t="shared" si="26"/>
        <v>1292</v>
      </c>
      <c r="G213" s="17">
        <f>F213*(Constant!$B$11/365)</f>
        <v>94.864657534246589</v>
      </c>
      <c r="H213" s="16">
        <f>IF(F213&lt;'Manager''s Page'!$B$11,'Manager''s Page'!$B$14,0)</f>
        <v>0</v>
      </c>
      <c r="I213" s="17" cm="1">
        <f t="array" ref="I213">_xlfn.IFS(H213&lt;Constant!$A$3,0,H213&lt;Constant!$A$4,375,H213&lt;Constant!$A$5,275,H213&lt;Constant!$A$6,175)</f>
        <v>0</v>
      </c>
      <c r="J213" s="16">
        <f t="shared" si="27"/>
        <v>882</v>
      </c>
      <c r="K213" s="16">
        <f t="shared" si="28"/>
        <v>1292</v>
      </c>
      <c r="L213" s="14">
        <f t="shared" si="29"/>
        <v>882</v>
      </c>
      <c r="M213" s="44">
        <f t="shared" si="30"/>
        <v>1292</v>
      </c>
    </row>
    <row r="214" spans="1:13" x14ac:dyDescent="0.25">
      <c r="A214" s="14">
        <f>'Manager''s Page'!H214</f>
        <v>212</v>
      </c>
      <c r="B214" s="15">
        <f t="shared" si="31"/>
        <v>1292</v>
      </c>
      <c r="C214" s="16">
        <f>'Manager''s Page'!I214</f>
        <v>265</v>
      </c>
      <c r="D214" s="16">
        <f t="shared" si="24"/>
        <v>265</v>
      </c>
      <c r="E214" s="16">
        <f t="shared" si="25"/>
        <v>0</v>
      </c>
      <c r="F214" s="16">
        <f t="shared" si="26"/>
        <v>1027</v>
      </c>
      <c r="G214" s="17">
        <f>F214*(Constant!$B$11/365)</f>
        <v>75.40712328767124</v>
      </c>
      <c r="H214" s="16">
        <f>IF(F214&lt;'Manager''s Page'!$B$11,'Manager''s Page'!$B$14,0)</f>
        <v>0</v>
      </c>
      <c r="I214" s="17" cm="1">
        <f t="array" ref="I214">_xlfn.IFS(H214&lt;Constant!$A$3,0,H214&lt;Constant!$A$4,375,H214&lt;Constant!$A$5,275,H214&lt;Constant!$A$6,175)</f>
        <v>0</v>
      </c>
      <c r="J214" s="16">
        <f t="shared" si="27"/>
        <v>265</v>
      </c>
      <c r="K214" s="16">
        <f t="shared" si="28"/>
        <v>1027</v>
      </c>
      <c r="L214" s="14">
        <f t="shared" si="29"/>
        <v>265</v>
      </c>
      <c r="M214" s="44">
        <f t="shared" si="30"/>
        <v>1027</v>
      </c>
    </row>
    <row r="215" spans="1:13" x14ac:dyDescent="0.25">
      <c r="A215" s="14">
        <f>'Manager''s Page'!H215</f>
        <v>213</v>
      </c>
      <c r="B215" s="15">
        <f t="shared" si="31"/>
        <v>1027</v>
      </c>
      <c r="C215" s="16">
        <f>'Manager''s Page'!I215</f>
        <v>442</v>
      </c>
      <c r="D215" s="16">
        <f t="shared" si="24"/>
        <v>442</v>
      </c>
      <c r="E215" s="16">
        <f t="shared" si="25"/>
        <v>0</v>
      </c>
      <c r="F215" s="16">
        <f t="shared" si="26"/>
        <v>585</v>
      </c>
      <c r="G215" s="17">
        <f>F215*(Constant!$B$11/365)</f>
        <v>42.953424657534249</v>
      </c>
      <c r="H215" s="16">
        <f>IF(F215&lt;'Manager''s Page'!$B$11,'Manager''s Page'!$B$14,0)</f>
        <v>0</v>
      </c>
      <c r="I215" s="17" cm="1">
        <f t="array" ref="I215">_xlfn.IFS(H215&lt;Constant!$A$3,0,H215&lt;Constant!$A$4,375,H215&lt;Constant!$A$5,275,H215&lt;Constant!$A$6,175)</f>
        <v>0</v>
      </c>
      <c r="J215" s="16">
        <f t="shared" si="27"/>
        <v>442</v>
      </c>
      <c r="K215" s="16">
        <f t="shared" si="28"/>
        <v>585</v>
      </c>
      <c r="L215" s="14">
        <f t="shared" si="29"/>
        <v>442</v>
      </c>
      <c r="M215" s="44">
        <f t="shared" si="30"/>
        <v>585</v>
      </c>
    </row>
    <row r="216" spans="1:13" x14ac:dyDescent="0.25">
      <c r="A216" s="14">
        <f>'Manager''s Page'!H216</f>
        <v>214</v>
      </c>
      <c r="B216" s="15">
        <f t="shared" si="31"/>
        <v>585</v>
      </c>
      <c r="C216" s="16">
        <f>'Manager''s Page'!I216</f>
        <v>766</v>
      </c>
      <c r="D216" s="16">
        <f t="shared" si="24"/>
        <v>585</v>
      </c>
      <c r="E216" s="16">
        <f t="shared" si="25"/>
        <v>181</v>
      </c>
      <c r="F216" s="16">
        <f t="shared" si="26"/>
        <v>0</v>
      </c>
      <c r="G216" s="17">
        <f>F216*(Constant!$B$11/365)</f>
        <v>0</v>
      </c>
      <c r="H216" s="16">
        <f>IF(F216&lt;'Manager''s Page'!$B$11,'Manager''s Page'!$B$14,0)</f>
        <v>5000</v>
      </c>
      <c r="I216" s="17" cm="1">
        <f t="array" ref="I216">_xlfn.IFS(H216&lt;Constant!$A$3,0,H216&lt;Constant!$A$4,375,H216&lt;Constant!$A$5,275,H216&lt;Constant!$A$6,175)</f>
        <v>275</v>
      </c>
      <c r="J216" s="16">
        <f t="shared" si="27"/>
        <v>766</v>
      </c>
      <c r="K216" s="16">
        <f t="shared" si="28"/>
        <v>0</v>
      </c>
      <c r="L216" s="14">
        <f t="shared" si="29"/>
        <v>766</v>
      </c>
      <c r="M216" s="44">
        <f t="shared" si="30"/>
        <v>0</v>
      </c>
    </row>
    <row r="217" spans="1:13" x14ac:dyDescent="0.25">
      <c r="A217" s="14">
        <f>'Manager''s Page'!H217</f>
        <v>215</v>
      </c>
      <c r="B217" s="15">
        <f t="shared" si="31"/>
        <v>5000</v>
      </c>
      <c r="C217" s="16">
        <f>'Manager''s Page'!I217</f>
        <v>729</v>
      </c>
      <c r="D217" s="16">
        <f t="shared" si="24"/>
        <v>729</v>
      </c>
      <c r="E217" s="16">
        <f t="shared" si="25"/>
        <v>0</v>
      </c>
      <c r="F217" s="16">
        <f t="shared" si="26"/>
        <v>4271</v>
      </c>
      <c r="G217" s="17">
        <f>F217*(Constant!$B$11/365)</f>
        <v>313.59671232876713</v>
      </c>
      <c r="H217" s="16">
        <f>IF(F217&lt;'Manager''s Page'!$B$11,'Manager''s Page'!$B$14,0)</f>
        <v>0</v>
      </c>
      <c r="I217" s="17" cm="1">
        <f t="array" ref="I217">_xlfn.IFS(H217&lt;Constant!$A$3,0,H217&lt;Constant!$A$4,375,H217&lt;Constant!$A$5,275,H217&lt;Constant!$A$6,175)</f>
        <v>0</v>
      </c>
      <c r="J217" s="16">
        <f t="shared" si="27"/>
        <v>729</v>
      </c>
      <c r="K217" s="16">
        <f t="shared" si="28"/>
        <v>4271</v>
      </c>
      <c r="L217" s="14">
        <f t="shared" si="29"/>
        <v>729</v>
      </c>
      <c r="M217" s="44">
        <f t="shared" si="30"/>
        <v>4271</v>
      </c>
    </row>
    <row r="218" spans="1:13" x14ac:dyDescent="0.25">
      <c r="A218" s="14">
        <f>'Manager''s Page'!H218</f>
        <v>216</v>
      </c>
      <c r="B218" s="15">
        <f t="shared" si="31"/>
        <v>4271</v>
      </c>
      <c r="C218" s="16">
        <f>'Manager''s Page'!I218</f>
        <v>908</v>
      </c>
      <c r="D218" s="16">
        <f t="shared" si="24"/>
        <v>908</v>
      </c>
      <c r="E218" s="16">
        <f t="shared" si="25"/>
        <v>0</v>
      </c>
      <c r="F218" s="16">
        <f t="shared" si="26"/>
        <v>3363</v>
      </c>
      <c r="G218" s="17">
        <f>F218*(Constant!$B$11/365)</f>
        <v>246.92712328767126</v>
      </c>
      <c r="H218" s="16">
        <f>IF(F218&lt;'Manager''s Page'!$B$11,'Manager''s Page'!$B$14,0)</f>
        <v>0</v>
      </c>
      <c r="I218" s="17" cm="1">
        <f t="array" ref="I218">_xlfn.IFS(H218&lt;Constant!$A$3,0,H218&lt;Constant!$A$4,375,H218&lt;Constant!$A$5,275,H218&lt;Constant!$A$6,175)</f>
        <v>0</v>
      </c>
      <c r="J218" s="16">
        <f t="shared" si="27"/>
        <v>908</v>
      </c>
      <c r="K218" s="16">
        <f t="shared" si="28"/>
        <v>3363</v>
      </c>
      <c r="L218" s="14">
        <f t="shared" si="29"/>
        <v>908</v>
      </c>
      <c r="M218" s="44">
        <f t="shared" si="30"/>
        <v>3363</v>
      </c>
    </row>
    <row r="219" spans="1:13" x14ac:dyDescent="0.25">
      <c r="A219" s="14">
        <f>'Manager''s Page'!H219</f>
        <v>217</v>
      </c>
      <c r="B219" s="15">
        <f t="shared" si="31"/>
        <v>3363</v>
      </c>
      <c r="C219" s="16">
        <f>'Manager''s Page'!I219</f>
        <v>957</v>
      </c>
      <c r="D219" s="16">
        <f t="shared" si="24"/>
        <v>957</v>
      </c>
      <c r="E219" s="16">
        <f t="shared" si="25"/>
        <v>0</v>
      </c>
      <c r="F219" s="16">
        <f t="shared" si="26"/>
        <v>2406</v>
      </c>
      <c r="G219" s="17">
        <f>F219*(Constant!$B$11/365)</f>
        <v>176.65972602739728</v>
      </c>
      <c r="H219" s="16">
        <f>IF(F219&lt;'Manager''s Page'!$B$11,'Manager''s Page'!$B$14,0)</f>
        <v>0</v>
      </c>
      <c r="I219" s="17" cm="1">
        <f t="array" ref="I219">_xlfn.IFS(H219&lt;Constant!$A$3,0,H219&lt;Constant!$A$4,375,H219&lt;Constant!$A$5,275,H219&lt;Constant!$A$6,175)</f>
        <v>0</v>
      </c>
      <c r="J219" s="16">
        <f t="shared" si="27"/>
        <v>957</v>
      </c>
      <c r="K219" s="16">
        <f t="shared" si="28"/>
        <v>2406</v>
      </c>
      <c r="L219" s="14">
        <f t="shared" si="29"/>
        <v>957</v>
      </c>
      <c r="M219" s="44">
        <f t="shared" si="30"/>
        <v>2406</v>
      </c>
    </row>
    <row r="220" spans="1:13" x14ac:dyDescent="0.25">
      <c r="A220" s="14">
        <f>'Manager''s Page'!H220</f>
        <v>218</v>
      </c>
      <c r="B220" s="15">
        <f t="shared" si="31"/>
        <v>2406</v>
      </c>
      <c r="C220" s="16">
        <f>'Manager''s Page'!I220</f>
        <v>615</v>
      </c>
      <c r="D220" s="16">
        <f t="shared" si="24"/>
        <v>615</v>
      </c>
      <c r="E220" s="16">
        <f t="shared" si="25"/>
        <v>0</v>
      </c>
      <c r="F220" s="16">
        <f t="shared" si="26"/>
        <v>1791</v>
      </c>
      <c r="G220" s="17">
        <f>F220*(Constant!$B$11/365)</f>
        <v>131.50356164383564</v>
      </c>
      <c r="H220" s="16">
        <f>IF(F220&lt;'Manager''s Page'!$B$11,'Manager''s Page'!$B$14,0)</f>
        <v>0</v>
      </c>
      <c r="I220" s="17" cm="1">
        <f t="array" ref="I220">_xlfn.IFS(H220&lt;Constant!$A$3,0,H220&lt;Constant!$A$4,375,H220&lt;Constant!$A$5,275,H220&lt;Constant!$A$6,175)</f>
        <v>0</v>
      </c>
      <c r="J220" s="16">
        <f t="shared" si="27"/>
        <v>615</v>
      </c>
      <c r="K220" s="16">
        <f t="shared" si="28"/>
        <v>1791</v>
      </c>
      <c r="L220" s="14">
        <f t="shared" si="29"/>
        <v>615</v>
      </c>
      <c r="M220" s="44">
        <f t="shared" si="30"/>
        <v>1791</v>
      </c>
    </row>
    <row r="221" spans="1:13" x14ac:dyDescent="0.25">
      <c r="A221" s="14">
        <f>'Manager''s Page'!H221</f>
        <v>219</v>
      </c>
      <c r="B221" s="15">
        <f t="shared" si="31"/>
        <v>1791</v>
      </c>
      <c r="C221" s="16">
        <f>'Manager''s Page'!I221</f>
        <v>587</v>
      </c>
      <c r="D221" s="16">
        <f t="shared" si="24"/>
        <v>587</v>
      </c>
      <c r="E221" s="16">
        <f t="shared" si="25"/>
        <v>0</v>
      </c>
      <c r="F221" s="16">
        <f t="shared" si="26"/>
        <v>1204</v>
      </c>
      <c r="G221" s="17">
        <f>F221*(Constant!$B$11/365)</f>
        <v>88.403287671232889</v>
      </c>
      <c r="H221" s="16">
        <f>IF(F221&lt;'Manager''s Page'!$B$11,'Manager''s Page'!$B$14,0)</f>
        <v>0</v>
      </c>
      <c r="I221" s="17" cm="1">
        <f t="array" ref="I221">_xlfn.IFS(H221&lt;Constant!$A$3,0,H221&lt;Constant!$A$4,375,H221&lt;Constant!$A$5,275,H221&lt;Constant!$A$6,175)</f>
        <v>0</v>
      </c>
      <c r="J221" s="16">
        <f t="shared" si="27"/>
        <v>587</v>
      </c>
      <c r="K221" s="16">
        <f t="shared" si="28"/>
        <v>1204</v>
      </c>
      <c r="L221" s="14">
        <f t="shared" si="29"/>
        <v>587</v>
      </c>
      <c r="M221" s="44">
        <f t="shared" si="30"/>
        <v>1204</v>
      </c>
    </row>
    <row r="222" spans="1:13" x14ac:dyDescent="0.25">
      <c r="A222" s="14">
        <f>'Manager''s Page'!H222</f>
        <v>220</v>
      </c>
      <c r="B222" s="15">
        <f t="shared" si="31"/>
        <v>1204</v>
      </c>
      <c r="C222" s="16">
        <f>'Manager''s Page'!I222</f>
        <v>853</v>
      </c>
      <c r="D222" s="16">
        <f t="shared" si="24"/>
        <v>853</v>
      </c>
      <c r="E222" s="16">
        <f t="shared" si="25"/>
        <v>0</v>
      </c>
      <c r="F222" s="16">
        <f t="shared" si="26"/>
        <v>351</v>
      </c>
      <c r="G222" s="17">
        <f>F222*(Constant!$B$11/365)</f>
        <v>25.77205479452055</v>
      </c>
      <c r="H222" s="16">
        <f>IF(F222&lt;'Manager''s Page'!$B$11,'Manager''s Page'!$B$14,0)</f>
        <v>0</v>
      </c>
      <c r="I222" s="17" cm="1">
        <f t="array" ref="I222">_xlfn.IFS(H222&lt;Constant!$A$3,0,H222&lt;Constant!$A$4,375,H222&lt;Constant!$A$5,275,H222&lt;Constant!$A$6,175)</f>
        <v>0</v>
      </c>
      <c r="J222" s="16">
        <f t="shared" si="27"/>
        <v>853</v>
      </c>
      <c r="K222" s="16">
        <f t="shared" si="28"/>
        <v>351</v>
      </c>
      <c r="L222" s="14">
        <f t="shared" si="29"/>
        <v>853</v>
      </c>
      <c r="M222" s="44">
        <f t="shared" si="30"/>
        <v>351</v>
      </c>
    </row>
    <row r="223" spans="1:13" x14ac:dyDescent="0.25">
      <c r="A223" s="14">
        <f>'Manager''s Page'!H223</f>
        <v>221</v>
      </c>
      <c r="B223" s="15">
        <f t="shared" si="31"/>
        <v>351</v>
      </c>
      <c r="C223" s="16">
        <f>'Manager''s Page'!I223</f>
        <v>527</v>
      </c>
      <c r="D223" s="16">
        <f t="shared" si="24"/>
        <v>351</v>
      </c>
      <c r="E223" s="16">
        <f t="shared" si="25"/>
        <v>176</v>
      </c>
      <c r="F223" s="16">
        <f t="shared" si="26"/>
        <v>0</v>
      </c>
      <c r="G223" s="17">
        <f>F223*(Constant!$B$11/365)</f>
        <v>0</v>
      </c>
      <c r="H223" s="16">
        <f>IF(F223&lt;'Manager''s Page'!$B$11,'Manager''s Page'!$B$14,0)</f>
        <v>5000</v>
      </c>
      <c r="I223" s="17" cm="1">
        <f t="array" ref="I223">_xlfn.IFS(H223&lt;Constant!$A$3,0,H223&lt;Constant!$A$4,375,H223&lt;Constant!$A$5,275,H223&lt;Constant!$A$6,175)</f>
        <v>275</v>
      </c>
      <c r="J223" s="16">
        <f t="shared" si="27"/>
        <v>527</v>
      </c>
      <c r="K223" s="16">
        <f t="shared" si="28"/>
        <v>0</v>
      </c>
      <c r="L223" s="14">
        <f t="shared" si="29"/>
        <v>527</v>
      </c>
      <c r="M223" s="44">
        <f t="shared" si="30"/>
        <v>0</v>
      </c>
    </row>
    <row r="224" spans="1:13" x14ac:dyDescent="0.25">
      <c r="A224" s="14">
        <f>'Manager''s Page'!H224</f>
        <v>222</v>
      </c>
      <c r="B224" s="15">
        <f t="shared" si="31"/>
        <v>5000</v>
      </c>
      <c r="C224" s="16">
        <f>'Manager''s Page'!I224</f>
        <v>434</v>
      </c>
      <c r="D224" s="16">
        <f t="shared" si="24"/>
        <v>434</v>
      </c>
      <c r="E224" s="16">
        <f t="shared" si="25"/>
        <v>0</v>
      </c>
      <c r="F224" s="16">
        <f t="shared" si="26"/>
        <v>4566</v>
      </c>
      <c r="G224" s="17">
        <f>F224*(Constant!$B$11/365)</f>
        <v>335.25698630136992</v>
      </c>
      <c r="H224" s="16">
        <f>IF(F224&lt;'Manager''s Page'!$B$11,'Manager''s Page'!$B$14,0)</f>
        <v>0</v>
      </c>
      <c r="I224" s="17" cm="1">
        <f t="array" ref="I224">_xlfn.IFS(H224&lt;Constant!$A$3,0,H224&lt;Constant!$A$4,375,H224&lt;Constant!$A$5,275,H224&lt;Constant!$A$6,175)</f>
        <v>0</v>
      </c>
      <c r="J224" s="16">
        <f t="shared" si="27"/>
        <v>434</v>
      </c>
      <c r="K224" s="16">
        <f t="shared" si="28"/>
        <v>4566</v>
      </c>
      <c r="L224" s="14">
        <f t="shared" si="29"/>
        <v>434</v>
      </c>
      <c r="M224" s="44">
        <f t="shared" si="30"/>
        <v>4566</v>
      </c>
    </row>
    <row r="225" spans="1:13" x14ac:dyDescent="0.25">
      <c r="A225" s="14">
        <f>'Manager''s Page'!H225</f>
        <v>223</v>
      </c>
      <c r="B225" s="15">
        <f t="shared" si="31"/>
        <v>4566</v>
      </c>
      <c r="C225" s="16">
        <f>'Manager''s Page'!I225</f>
        <v>403</v>
      </c>
      <c r="D225" s="16">
        <f t="shared" si="24"/>
        <v>403</v>
      </c>
      <c r="E225" s="16">
        <f t="shared" si="25"/>
        <v>0</v>
      </c>
      <c r="F225" s="16">
        <f t="shared" si="26"/>
        <v>4163</v>
      </c>
      <c r="G225" s="17">
        <f>F225*(Constant!$B$11/365)</f>
        <v>305.66684931506853</v>
      </c>
      <c r="H225" s="16">
        <f>IF(F225&lt;'Manager''s Page'!$B$11,'Manager''s Page'!$B$14,0)</f>
        <v>0</v>
      </c>
      <c r="I225" s="17" cm="1">
        <f t="array" ref="I225">_xlfn.IFS(H225&lt;Constant!$A$3,0,H225&lt;Constant!$A$4,375,H225&lt;Constant!$A$5,275,H225&lt;Constant!$A$6,175)</f>
        <v>0</v>
      </c>
      <c r="J225" s="16">
        <f t="shared" si="27"/>
        <v>403</v>
      </c>
      <c r="K225" s="16">
        <f t="shared" si="28"/>
        <v>4163</v>
      </c>
      <c r="L225" s="14">
        <f t="shared" si="29"/>
        <v>403</v>
      </c>
      <c r="M225" s="44">
        <f t="shared" si="30"/>
        <v>4163</v>
      </c>
    </row>
    <row r="226" spans="1:13" x14ac:dyDescent="0.25">
      <c r="A226" s="14">
        <f>'Manager''s Page'!H226</f>
        <v>224</v>
      </c>
      <c r="B226" s="15">
        <f t="shared" si="31"/>
        <v>4163</v>
      </c>
      <c r="C226" s="16">
        <f>'Manager''s Page'!I226</f>
        <v>418</v>
      </c>
      <c r="D226" s="16">
        <f t="shared" si="24"/>
        <v>418</v>
      </c>
      <c r="E226" s="16">
        <f t="shared" si="25"/>
        <v>0</v>
      </c>
      <c r="F226" s="16">
        <f t="shared" si="26"/>
        <v>3745</v>
      </c>
      <c r="G226" s="17">
        <f>F226*(Constant!$B$11/365)</f>
        <v>274.97534246575344</v>
      </c>
      <c r="H226" s="16">
        <f>IF(F226&lt;'Manager''s Page'!$B$11,'Manager''s Page'!$B$14,0)</f>
        <v>0</v>
      </c>
      <c r="I226" s="17" cm="1">
        <f t="array" ref="I226">_xlfn.IFS(H226&lt;Constant!$A$3,0,H226&lt;Constant!$A$4,375,H226&lt;Constant!$A$5,275,H226&lt;Constant!$A$6,175)</f>
        <v>0</v>
      </c>
      <c r="J226" s="16">
        <f t="shared" si="27"/>
        <v>418</v>
      </c>
      <c r="K226" s="16">
        <f t="shared" si="28"/>
        <v>3745</v>
      </c>
      <c r="L226" s="14">
        <f t="shared" si="29"/>
        <v>418</v>
      </c>
      <c r="M226" s="44">
        <f t="shared" si="30"/>
        <v>3745</v>
      </c>
    </row>
    <row r="227" spans="1:13" x14ac:dyDescent="0.25">
      <c r="A227" s="14">
        <f>'Manager''s Page'!H227</f>
        <v>225</v>
      </c>
      <c r="B227" s="15">
        <f t="shared" si="31"/>
        <v>3745</v>
      </c>
      <c r="C227" s="16">
        <f>'Manager''s Page'!I227</f>
        <v>593</v>
      </c>
      <c r="D227" s="16">
        <f t="shared" si="24"/>
        <v>593</v>
      </c>
      <c r="E227" s="16">
        <f t="shared" si="25"/>
        <v>0</v>
      </c>
      <c r="F227" s="16">
        <f t="shared" si="26"/>
        <v>3152</v>
      </c>
      <c r="G227" s="17">
        <f>F227*(Constant!$B$11/365)</f>
        <v>231.43452054794523</v>
      </c>
      <c r="H227" s="16">
        <f>IF(F227&lt;'Manager''s Page'!$B$11,'Manager''s Page'!$B$14,0)</f>
        <v>0</v>
      </c>
      <c r="I227" s="17" cm="1">
        <f t="array" ref="I227">_xlfn.IFS(H227&lt;Constant!$A$3,0,H227&lt;Constant!$A$4,375,H227&lt;Constant!$A$5,275,H227&lt;Constant!$A$6,175)</f>
        <v>0</v>
      </c>
      <c r="J227" s="16">
        <f t="shared" si="27"/>
        <v>593</v>
      </c>
      <c r="K227" s="16">
        <f t="shared" si="28"/>
        <v>3152</v>
      </c>
      <c r="L227" s="14">
        <f t="shared" si="29"/>
        <v>593</v>
      </c>
      <c r="M227" s="44">
        <f t="shared" si="30"/>
        <v>3152</v>
      </c>
    </row>
    <row r="228" spans="1:13" x14ac:dyDescent="0.25">
      <c r="A228" s="14">
        <f>'Manager''s Page'!H228</f>
        <v>226</v>
      </c>
      <c r="B228" s="15">
        <f t="shared" si="31"/>
        <v>3152</v>
      </c>
      <c r="C228" s="16">
        <f>'Manager''s Page'!I228</f>
        <v>411</v>
      </c>
      <c r="D228" s="16">
        <f t="shared" si="24"/>
        <v>411</v>
      </c>
      <c r="E228" s="16">
        <f t="shared" si="25"/>
        <v>0</v>
      </c>
      <c r="F228" s="16">
        <f t="shared" si="26"/>
        <v>2741</v>
      </c>
      <c r="G228" s="17">
        <f>F228*(Constant!$B$11/365)</f>
        <v>201.25698630136989</v>
      </c>
      <c r="H228" s="16">
        <f>IF(F228&lt;'Manager''s Page'!$B$11,'Manager''s Page'!$B$14,0)</f>
        <v>0</v>
      </c>
      <c r="I228" s="17" cm="1">
        <f t="array" ref="I228">_xlfn.IFS(H228&lt;Constant!$A$3,0,H228&lt;Constant!$A$4,375,H228&lt;Constant!$A$5,275,H228&lt;Constant!$A$6,175)</f>
        <v>0</v>
      </c>
      <c r="J228" s="16">
        <f t="shared" si="27"/>
        <v>411</v>
      </c>
      <c r="K228" s="16">
        <f t="shared" si="28"/>
        <v>2741</v>
      </c>
      <c r="L228" s="14">
        <f t="shared" si="29"/>
        <v>411</v>
      </c>
      <c r="M228" s="44">
        <f t="shared" si="30"/>
        <v>2741</v>
      </c>
    </row>
    <row r="229" spans="1:13" x14ac:dyDescent="0.25">
      <c r="A229" s="14">
        <f>'Manager''s Page'!H229</f>
        <v>227</v>
      </c>
      <c r="B229" s="15">
        <f t="shared" si="31"/>
        <v>2741</v>
      </c>
      <c r="C229" s="16">
        <f>'Manager''s Page'!I229</f>
        <v>753</v>
      </c>
      <c r="D229" s="16">
        <f t="shared" si="24"/>
        <v>753</v>
      </c>
      <c r="E229" s="16">
        <f t="shared" si="25"/>
        <v>0</v>
      </c>
      <c r="F229" s="16">
        <f t="shared" si="26"/>
        <v>1988</v>
      </c>
      <c r="G229" s="17">
        <f>F229*(Constant!$B$11/365)</f>
        <v>145.96821917808219</v>
      </c>
      <c r="H229" s="16">
        <f>IF(F229&lt;'Manager''s Page'!$B$11,'Manager''s Page'!$B$14,0)</f>
        <v>0</v>
      </c>
      <c r="I229" s="17" cm="1">
        <f t="array" ref="I229">_xlfn.IFS(H229&lt;Constant!$A$3,0,H229&lt;Constant!$A$4,375,H229&lt;Constant!$A$5,275,H229&lt;Constant!$A$6,175)</f>
        <v>0</v>
      </c>
      <c r="J229" s="16">
        <f t="shared" si="27"/>
        <v>753</v>
      </c>
      <c r="K229" s="16">
        <f t="shared" si="28"/>
        <v>1988</v>
      </c>
      <c r="L229" s="14">
        <f t="shared" si="29"/>
        <v>753</v>
      </c>
      <c r="M229" s="44">
        <f t="shared" si="30"/>
        <v>1988</v>
      </c>
    </row>
    <row r="230" spans="1:13" x14ac:dyDescent="0.25">
      <c r="A230" s="14">
        <f>'Manager''s Page'!H230</f>
        <v>228</v>
      </c>
      <c r="B230" s="15">
        <f t="shared" si="31"/>
        <v>1988</v>
      </c>
      <c r="C230" s="16">
        <f>'Manager''s Page'!I230</f>
        <v>388</v>
      </c>
      <c r="D230" s="16">
        <f t="shared" si="24"/>
        <v>388</v>
      </c>
      <c r="E230" s="16">
        <f t="shared" si="25"/>
        <v>0</v>
      </c>
      <c r="F230" s="16">
        <f t="shared" si="26"/>
        <v>1600</v>
      </c>
      <c r="G230" s="17">
        <f>F230*(Constant!$B$11/365)</f>
        <v>117.47945205479454</v>
      </c>
      <c r="H230" s="16">
        <f>IF(F230&lt;'Manager''s Page'!$B$11,'Manager''s Page'!$B$14,0)</f>
        <v>0</v>
      </c>
      <c r="I230" s="17" cm="1">
        <f t="array" ref="I230">_xlfn.IFS(H230&lt;Constant!$A$3,0,H230&lt;Constant!$A$4,375,H230&lt;Constant!$A$5,275,H230&lt;Constant!$A$6,175)</f>
        <v>0</v>
      </c>
      <c r="J230" s="16">
        <f t="shared" si="27"/>
        <v>388</v>
      </c>
      <c r="K230" s="16">
        <f t="shared" si="28"/>
        <v>1600</v>
      </c>
      <c r="L230" s="14">
        <f t="shared" si="29"/>
        <v>388</v>
      </c>
      <c r="M230" s="44">
        <f t="shared" si="30"/>
        <v>1600</v>
      </c>
    </row>
    <row r="231" spans="1:13" x14ac:dyDescent="0.25">
      <c r="A231" s="14">
        <f>'Manager''s Page'!H231</f>
        <v>229</v>
      </c>
      <c r="B231" s="15">
        <f t="shared" si="31"/>
        <v>1600</v>
      </c>
      <c r="C231" s="16">
        <f>'Manager''s Page'!I231</f>
        <v>962</v>
      </c>
      <c r="D231" s="16">
        <f t="shared" si="24"/>
        <v>962</v>
      </c>
      <c r="E231" s="16">
        <f t="shared" si="25"/>
        <v>0</v>
      </c>
      <c r="F231" s="16">
        <f t="shared" si="26"/>
        <v>638</v>
      </c>
      <c r="G231" s="17">
        <f>F231*(Constant!$B$11/365)</f>
        <v>46.844931506849321</v>
      </c>
      <c r="H231" s="16">
        <f>IF(F231&lt;'Manager''s Page'!$B$11,'Manager''s Page'!$B$14,0)</f>
        <v>0</v>
      </c>
      <c r="I231" s="17" cm="1">
        <f t="array" ref="I231">_xlfn.IFS(H231&lt;Constant!$A$3,0,H231&lt;Constant!$A$4,375,H231&lt;Constant!$A$5,275,H231&lt;Constant!$A$6,175)</f>
        <v>0</v>
      </c>
      <c r="J231" s="16">
        <f t="shared" si="27"/>
        <v>962</v>
      </c>
      <c r="K231" s="16">
        <f t="shared" si="28"/>
        <v>638</v>
      </c>
      <c r="L231" s="14">
        <f t="shared" si="29"/>
        <v>962</v>
      </c>
      <c r="M231" s="44">
        <f t="shared" si="30"/>
        <v>638</v>
      </c>
    </row>
    <row r="232" spans="1:13" x14ac:dyDescent="0.25">
      <c r="A232" s="14">
        <f>'Manager''s Page'!H232</f>
        <v>230</v>
      </c>
      <c r="B232" s="15">
        <f t="shared" si="31"/>
        <v>638</v>
      </c>
      <c r="C232" s="16">
        <f>'Manager''s Page'!I232</f>
        <v>804</v>
      </c>
      <c r="D232" s="16">
        <f t="shared" si="24"/>
        <v>638</v>
      </c>
      <c r="E232" s="16">
        <f t="shared" si="25"/>
        <v>166</v>
      </c>
      <c r="F232" s="16">
        <f t="shared" si="26"/>
        <v>0</v>
      </c>
      <c r="G232" s="17">
        <f>F232*(Constant!$B$11/365)</f>
        <v>0</v>
      </c>
      <c r="H232" s="16">
        <f>IF(F232&lt;'Manager''s Page'!$B$11,'Manager''s Page'!$B$14,0)</f>
        <v>5000</v>
      </c>
      <c r="I232" s="17" cm="1">
        <f t="array" ref="I232">_xlfn.IFS(H232&lt;Constant!$A$3,0,H232&lt;Constant!$A$4,375,H232&lt;Constant!$A$5,275,H232&lt;Constant!$A$6,175)</f>
        <v>275</v>
      </c>
      <c r="J232" s="16">
        <f t="shared" si="27"/>
        <v>804</v>
      </c>
      <c r="K232" s="16">
        <f t="shared" si="28"/>
        <v>0</v>
      </c>
      <c r="L232" s="14">
        <f t="shared" si="29"/>
        <v>804</v>
      </c>
      <c r="M232" s="44">
        <f t="shared" si="30"/>
        <v>0</v>
      </c>
    </row>
    <row r="233" spans="1:13" x14ac:dyDescent="0.25">
      <c r="A233" s="14">
        <f>'Manager''s Page'!H233</f>
        <v>231</v>
      </c>
      <c r="B233" s="15">
        <f t="shared" si="31"/>
        <v>5000</v>
      </c>
      <c r="C233" s="16">
        <f>'Manager''s Page'!I233</f>
        <v>931</v>
      </c>
      <c r="D233" s="16">
        <f t="shared" si="24"/>
        <v>931</v>
      </c>
      <c r="E233" s="16">
        <f t="shared" si="25"/>
        <v>0</v>
      </c>
      <c r="F233" s="16">
        <f t="shared" si="26"/>
        <v>4069</v>
      </c>
      <c r="G233" s="17">
        <f>F233*(Constant!$B$11/365)</f>
        <v>298.76493150684934</v>
      </c>
      <c r="H233" s="16">
        <f>IF(F233&lt;'Manager''s Page'!$B$11,'Manager''s Page'!$B$14,0)</f>
        <v>0</v>
      </c>
      <c r="I233" s="17" cm="1">
        <f t="array" ref="I233">_xlfn.IFS(H233&lt;Constant!$A$3,0,H233&lt;Constant!$A$4,375,H233&lt;Constant!$A$5,275,H233&lt;Constant!$A$6,175)</f>
        <v>0</v>
      </c>
      <c r="J233" s="16">
        <f t="shared" si="27"/>
        <v>931</v>
      </c>
      <c r="K233" s="16">
        <f t="shared" si="28"/>
        <v>4069</v>
      </c>
      <c r="L233" s="14">
        <f t="shared" si="29"/>
        <v>931</v>
      </c>
      <c r="M233" s="44">
        <f t="shared" si="30"/>
        <v>4069</v>
      </c>
    </row>
    <row r="234" spans="1:13" x14ac:dyDescent="0.25">
      <c r="A234" s="14">
        <f>'Manager''s Page'!H234</f>
        <v>232</v>
      </c>
      <c r="B234" s="15">
        <f t="shared" si="31"/>
        <v>4069</v>
      </c>
      <c r="C234" s="16">
        <f>'Manager''s Page'!I234</f>
        <v>972</v>
      </c>
      <c r="D234" s="16">
        <f t="shared" si="24"/>
        <v>972</v>
      </c>
      <c r="E234" s="16">
        <f t="shared" si="25"/>
        <v>0</v>
      </c>
      <c r="F234" s="16">
        <f t="shared" si="26"/>
        <v>3097</v>
      </c>
      <c r="G234" s="17">
        <f>F234*(Constant!$B$11/365)</f>
        <v>227.39616438356165</v>
      </c>
      <c r="H234" s="16">
        <f>IF(F234&lt;'Manager''s Page'!$B$11,'Manager''s Page'!$B$14,0)</f>
        <v>0</v>
      </c>
      <c r="I234" s="17" cm="1">
        <f t="array" ref="I234">_xlfn.IFS(H234&lt;Constant!$A$3,0,H234&lt;Constant!$A$4,375,H234&lt;Constant!$A$5,275,H234&lt;Constant!$A$6,175)</f>
        <v>0</v>
      </c>
      <c r="J234" s="16">
        <f t="shared" si="27"/>
        <v>972</v>
      </c>
      <c r="K234" s="16">
        <f t="shared" si="28"/>
        <v>3097</v>
      </c>
      <c r="L234" s="14">
        <f t="shared" si="29"/>
        <v>972</v>
      </c>
      <c r="M234" s="44">
        <f t="shared" si="30"/>
        <v>3097</v>
      </c>
    </row>
    <row r="235" spans="1:13" x14ac:dyDescent="0.25">
      <c r="A235" s="14">
        <f>'Manager''s Page'!H235</f>
        <v>233</v>
      </c>
      <c r="B235" s="15">
        <f t="shared" si="31"/>
        <v>3097</v>
      </c>
      <c r="C235" s="16">
        <f>'Manager''s Page'!I235</f>
        <v>710</v>
      </c>
      <c r="D235" s="16">
        <f t="shared" si="24"/>
        <v>710</v>
      </c>
      <c r="E235" s="16">
        <f t="shared" si="25"/>
        <v>0</v>
      </c>
      <c r="F235" s="16">
        <f t="shared" si="26"/>
        <v>2387</v>
      </c>
      <c r="G235" s="17">
        <f>F235*(Constant!$B$11/365)</f>
        <v>175.2646575342466</v>
      </c>
      <c r="H235" s="16">
        <f>IF(F235&lt;'Manager''s Page'!$B$11,'Manager''s Page'!$B$14,0)</f>
        <v>0</v>
      </c>
      <c r="I235" s="17" cm="1">
        <f t="array" ref="I235">_xlfn.IFS(H235&lt;Constant!$A$3,0,H235&lt;Constant!$A$4,375,H235&lt;Constant!$A$5,275,H235&lt;Constant!$A$6,175)</f>
        <v>0</v>
      </c>
      <c r="J235" s="16">
        <f t="shared" si="27"/>
        <v>710</v>
      </c>
      <c r="K235" s="16">
        <f t="shared" si="28"/>
        <v>2387</v>
      </c>
      <c r="L235" s="14">
        <f t="shared" si="29"/>
        <v>710</v>
      </c>
      <c r="M235" s="44">
        <f t="shared" si="30"/>
        <v>2387</v>
      </c>
    </row>
    <row r="236" spans="1:13" x14ac:dyDescent="0.25">
      <c r="A236" s="14">
        <f>'Manager''s Page'!H236</f>
        <v>234</v>
      </c>
      <c r="B236" s="15">
        <f t="shared" si="31"/>
        <v>2387</v>
      </c>
      <c r="C236" s="16">
        <f>'Manager''s Page'!I236</f>
        <v>698</v>
      </c>
      <c r="D236" s="16">
        <f t="shared" si="24"/>
        <v>698</v>
      </c>
      <c r="E236" s="16">
        <f t="shared" si="25"/>
        <v>0</v>
      </c>
      <c r="F236" s="16">
        <f t="shared" si="26"/>
        <v>1689</v>
      </c>
      <c r="G236" s="17">
        <f>F236*(Constant!$B$11/365)</f>
        <v>124.01424657534248</v>
      </c>
      <c r="H236" s="16">
        <f>IF(F236&lt;'Manager''s Page'!$B$11,'Manager''s Page'!$B$14,0)</f>
        <v>0</v>
      </c>
      <c r="I236" s="17" cm="1">
        <f t="array" ref="I236">_xlfn.IFS(H236&lt;Constant!$A$3,0,H236&lt;Constant!$A$4,375,H236&lt;Constant!$A$5,275,H236&lt;Constant!$A$6,175)</f>
        <v>0</v>
      </c>
      <c r="J236" s="16">
        <f t="shared" si="27"/>
        <v>698</v>
      </c>
      <c r="K236" s="16">
        <f t="shared" si="28"/>
        <v>1689</v>
      </c>
      <c r="L236" s="14">
        <f t="shared" si="29"/>
        <v>698</v>
      </c>
      <c r="M236" s="44">
        <f t="shared" si="30"/>
        <v>1689</v>
      </c>
    </row>
    <row r="237" spans="1:13" x14ac:dyDescent="0.25">
      <c r="A237" s="14">
        <f>'Manager''s Page'!H237</f>
        <v>235</v>
      </c>
      <c r="B237" s="15">
        <f t="shared" si="31"/>
        <v>1689</v>
      </c>
      <c r="C237" s="16">
        <f>'Manager''s Page'!I237</f>
        <v>506</v>
      </c>
      <c r="D237" s="16">
        <f t="shared" si="24"/>
        <v>506</v>
      </c>
      <c r="E237" s="16">
        <f t="shared" si="25"/>
        <v>0</v>
      </c>
      <c r="F237" s="16">
        <f t="shared" si="26"/>
        <v>1183</v>
      </c>
      <c r="G237" s="17">
        <f>F237*(Constant!$B$11/365)</f>
        <v>86.861369863013707</v>
      </c>
      <c r="H237" s="16">
        <f>IF(F237&lt;'Manager''s Page'!$B$11,'Manager''s Page'!$B$14,0)</f>
        <v>0</v>
      </c>
      <c r="I237" s="17" cm="1">
        <f t="array" ref="I237">_xlfn.IFS(H237&lt;Constant!$A$3,0,H237&lt;Constant!$A$4,375,H237&lt;Constant!$A$5,275,H237&lt;Constant!$A$6,175)</f>
        <v>0</v>
      </c>
      <c r="J237" s="16">
        <f t="shared" si="27"/>
        <v>506</v>
      </c>
      <c r="K237" s="16">
        <f t="shared" si="28"/>
        <v>1183</v>
      </c>
      <c r="L237" s="14">
        <f t="shared" si="29"/>
        <v>506</v>
      </c>
      <c r="M237" s="44">
        <f t="shared" si="30"/>
        <v>1183</v>
      </c>
    </row>
    <row r="238" spans="1:13" x14ac:dyDescent="0.25">
      <c r="A238" s="14">
        <f>'Manager''s Page'!H238</f>
        <v>236</v>
      </c>
      <c r="B238" s="15">
        <f t="shared" si="31"/>
        <v>1183</v>
      </c>
      <c r="C238" s="16">
        <f>'Manager''s Page'!I238</f>
        <v>589</v>
      </c>
      <c r="D238" s="16">
        <f t="shared" si="24"/>
        <v>589</v>
      </c>
      <c r="E238" s="16">
        <f t="shared" si="25"/>
        <v>0</v>
      </c>
      <c r="F238" s="16">
        <f t="shared" si="26"/>
        <v>594</v>
      </c>
      <c r="G238" s="17">
        <f>F238*(Constant!$B$11/365)</f>
        <v>43.61424657534247</v>
      </c>
      <c r="H238" s="16">
        <f>IF(F238&lt;'Manager''s Page'!$B$11,'Manager''s Page'!$B$14,0)</f>
        <v>0</v>
      </c>
      <c r="I238" s="17" cm="1">
        <f t="array" ref="I238">_xlfn.IFS(H238&lt;Constant!$A$3,0,H238&lt;Constant!$A$4,375,H238&lt;Constant!$A$5,275,H238&lt;Constant!$A$6,175)</f>
        <v>0</v>
      </c>
      <c r="J238" s="16">
        <f t="shared" si="27"/>
        <v>589</v>
      </c>
      <c r="K238" s="16">
        <f t="shared" si="28"/>
        <v>594</v>
      </c>
      <c r="L238" s="14">
        <f t="shared" si="29"/>
        <v>589</v>
      </c>
      <c r="M238" s="44">
        <f t="shared" si="30"/>
        <v>594</v>
      </c>
    </row>
    <row r="239" spans="1:13" x14ac:dyDescent="0.25">
      <c r="A239" s="14">
        <f>'Manager''s Page'!H239</f>
        <v>237</v>
      </c>
      <c r="B239" s="15">
        <f t="shared" si="31"/>
        <v>594</v>
      </c>
      <c r="C239" s="16">
        <f>'Manager''s Page'!I239</f>
        <v>839</v>
      </c>
      <c r="D239" s="16">
        <f t="shared" si="24"/>
        <v>594</v>
      </c>
      <c r="E239" s="16">
        <f t="shared" si="25"/>
        <v>245</v>
      </c>
      <c r="F239" s="16">
        <f t="shared" si="26"/>
        <v>0</v>
      </c>
      <c r="G239" s="17">
        <f>F239*(Constant!$B$11/365)</f>
        <v>0</v>
      </c>
      <c r="H239" s="16">
        <f>IF(F239&lt;'Manager''s Page'!$B$11,'Manager''s Page'!$B$14,0)</f>
        <v>5000</v>
      </c>
      <c r="I239" s="17" cm="1">
        <f t="array" ref="I239">_xlfn.IFS(H239&lt;Constant!$A$3,0,H239&lt;Constant!$A$4,375,H239&lt;Constant!$A$5,275,H239&lt;Constant!$A$6,175)</f>
        <v>275</v>
      </c>
      <c r="J239" s="16">
        <f t="shared" si="27"/>
        <v>839</v>
      </c>
      <c r="K239" s="16">
        <f t="shared" si="28"/>
        <v>0</v>
      </c>
      <c r="L239" s="14">
        <f t="shared" si="29"/>
        <v>839</v>
      </c>
      <c r="M239" s="44">
        <f t="shared" si="30"/>
        <v>0</v>
      </c>
    </row>
    <row r="240" spans="1:13" x14ac:dyDescent="0.25">
      <c r="A240" s="14">
        <f>'Manager''s Page'!H240</f>
        <v>238</v>
      </c>
      <c r="B240" s="15">
        <f t="shared" si="31"/>
        <v>5000</v>
      </c>
      <c r="C240" s="16">
        <f>'Manager''s Page'!I240</f>
        <v>695</v>
      </c>
      <c r="D240" s="16">
        <f t="shared" si="24"/>
        <v>695</v>
      </c>
      <c r="E240" s="16">
        <f t="shared" si="25"/>
        <v>0</v>
      </c>
      <c r="F240" s="16">
        <f t="shared" si="26"/>
        <v>4305</v>
      </c>
      <c r="G240" s="17">
        <f>F240*(Constant!$B$11/365)</f>
        <v>316.09315068493152</v>
      </c>
      <c r="H240" s="16">
        <f>IF(F240&lt;'Manager''s Page'!$B$11,'Manager''s Page'!$B$14,0)</f>
        <v>0</v>
      </c>
      <c r="I240" s="17" cm="1">
        <f t="array" ref="I240">_xlfn.IFS(H240&lt;Constant!$A$3,0,H240&lt;Constant!$A$4,375,H240&lt;Constant!$A$5,275,H240&lt;Constant!$A$6,175)</f>
        <v>0</v>
      </c>
      <c r="J240" s="16">
        <f t="shared" si="27"/>
        <v>695</v>
      </c>
      <c r="K240" s="16">
        <f t="shared" si="28"/>
        <v>4305</v>
      </c>
      <c r="L240" s="14">
        <f t="shared" si="29"/>
        <v>695</v>
      </c>
      <c r="M240" s="44">
        <f t="shared" si="30"/>
        <v>4305</v>
      </c>
    </row>
    <row r="241" spans="1:13" x14ac:dyDescent="0.25">
      <c r="A241" s="14">
        <f>'Manager''s Page'!H241</f>
        <v>239</v>
      </c>
      <c r="B241" s="15">
        <f t="shared" si="31"/>
        <v>4305</v>
      </c>
      <c r="C241" s="16">
        <f>'Manager''s Page'!I241</f>
        <v>263</v>
      </c>
      <c r="D241" s="16">
        <f t="shared" si="24"/>
        <v>263</v>
      </c>
      <c r="E241" s="16">
        <f t="shared" si="25"/>
        <v>0</v>
      </c>
      <c r="F241" s="16">
        <f t="shared" si="26"/>
        <v>4042</v>
      </c>
      <c r="G241" s="17">
        <f>F241*(Constant!$B$11/365)</f>
        <v>296.78246575342467</v>
      </c>
      <c r="H241" s="16">
        <f>IF(F241&lt;'Manager''s Page'!$B$11,'Manager''s Page'!$B$14,0)</f>
        <v>0</v>
      </c>
      <c r="I241" s="17" cm="1">
        <f t="array" ref="I241">_xlfn.IFS(H241&lt;Constant!$A$3,0,H241&lt;Constant!$A$4,375,H241&lt;Constant!$A$5,275,H241&lt;Constant!$A$6,175)</f>
        <v>0</v>
      </c>
      <c r="J241" s="16">
        <f t="shared" si="27"/>
        <v>263</v>
      </c>
      <c r="K241" s="16">
        <f t="shared" si="28"/>
        <v>4042</v>
      </c>
      <c r="L241" s="14">
        <f t="shared" si="29"/>
        <v>263</v>
      </c>
      <c r="M241" s="44">
        <f t="shared" si="30"/>
        <v>4042</v>
      </c>
    </row>
    <row r="242" spans="1:13" x14ac:dyDescent="0.25">
      <c r="A242" s="14">
        <f>'Manager''s Page'!H242</f>
        <v>240</v>
      </c>
      <c r="B242" s="15">
        <f t="shared" si="31"/>
        <v>4042</v>
      </c>
      <c r="C242" s="16">
        <f>'Manager''s Page'!I242</f>
        <v>222</v>
      </c>
      <c r="D242" s="16">
        <f t="shared" si="24"/>
        <v>222</v>
      </c>
      <c r="E242" s="16">
        <f t="shared" si="25"/>
        <v>0</v>
      </c>
      <c r="F242" s="16">
        <f t="shared" si="26"/>
        <v>3820</v>
      </c>
      <c r="G242" s="17">
        <f>F242*(Constant!$B$11/365)</f>
        <v>280.48219178082195</v>
      </c>
      <c r="H242" s="16">
        <f>IF(F242&lt;'Manager''s Page'!$B$11,'Manager''s Page'!$B$14,0)</f>
        <v>0</v>
      </c>
      <c r="I242" s="17" cm="1">
        <f t="array" ref="I242">_xlfn.IFS(H242&lt;Constant!$A$3,0,H242&lt;Constant!$A$4,375,H242&lt;Constant!$A$5,275,H242&lt;Constant!$A$6,175)</f>
        <v>0</v>
      </c>
      <c r="J242" s="16">
        <f t="shared" si="27"/>
        <v>222</v>
      </c>
      <c r="K242" s="16">
        <f t="shared" si="28"/>
        <v>3820</v>
      </c>
      <c r="L242" s="14">
        <f t="shared" si="29"/>
        <v>222</v>
      </c>
      <c r="M242" s="44">
        <f t="shared" si="30"/>
        <v>3820</v>
      </c>
    </row>
    <row r="243" spans="1:13" x14ac:dyDescent="0.25">
      <c r="A243" s="14">
        <f>'Manager''s Page'!H243</f>
        <v>241</v>
      </c>
      <c r="B243" s="15">
        <f t="shared" si="31"/>
        <v>3820</v>
      </c>
      <c r="C243" s="16">
        <f>'Manager''s Page'!I243</f>
        <v>783</v>
      </c>
      <c r="D243" s="16">
        <f t="shared" si="24"/>
        <v>783</v>
      </c>
      <c r="E243" s="16">
        <f t="shared" si="25"/>
        <v>0</v>
      </c>
      <c r="F243" s="16">
        <f t="shared" si="26"/>
        <v>3037</v>
      </c>
      <c r="G243" s="17">
        <f>F243*(Constant!$B$11/365)</f>
        <v>222.99068493150688</v>
      </c>
      <c r="H243" s="16">
        <f>IF(F243&lt;'Manager''s Page'!$B$11,'Manager''s Page'!$B$14,0)</f>
        <v>0</v>
      </c>
      <c r="I243" s="17" cm="1">
        <f t="array" ref="I243">_xlfn.IFS(H243&lt;Constant!$A$3,0,H243&lt;Constant!$A$4,375,H243&lt;Constant!$A$5,275,H243&lt;Constant!$A$6,175)</f>
        <v>0</v>
      </c>
      <c r="J243" s="16">
        <f t="shared" si="27"/>
        <v>783</v>
      </c>
      <c r="K243" s="16">
        <f t="shared" si="28"/>
        <v>3037</v>
      </c>
      <c r="L243" s="14">
        <f t="shared" si="29"/>
        <v>783</v>
      </c>
      <c r="M243" s="44">
        <f t="shared" si="30"/>
        <v>3037</v>
      </c>
    </row>
    <row r="244" spans="1:13" x14ac:dyDescent="0.25">
      <c r="A244" s="14">
        <f>'Manager''s Page'!H244</f>
        <v>242</v>
      </c>
      <c r="B244" s="15">
        <f t="shared" si="31"/>
        <v>3037</v>
      </c>
      <c r="C244" s="16">
        <f>'Manager''s Page'!I244</f>
        <v>556</v>
      </c>
      <c r="D244" s="16">
        <f t="shared" si="24"/>
        <v>556</v>
      </c>
      <c r="E244" s="16">
        <f t="shared" si="25"/>
        <v>0</v>
      </c>
      <c r="F244" s="16">
        <f t="shared" si="26"/>
        <v>2481</v>
      </c>
      <c r="G244" s="17">
        <f>F244*(Constant!$B$11/365)</f>
        <v>182.16657534246576</v>
      </c>
      <c r="H244" s="16">
        <f>IF(F244&lt;'Manager''s Page'!$B$11,'Manager''s Page'!$B$14,0)</f>
        <v>0</v>
      </c>
      <c r="I244" s="17" cm="1">
        <f t="array" ref="I244">_xlfn.IFS(H244&lt;Constant!$A$3,0,H244&lt;Constant!$A$4,375,H244&lt;Constant!$A$5,275,H244&lt;Constant!$A$6,175)</f>
        <v>0</v>
      </c>
      <c r="J244" s="16">
        <f t="shared" si="27"/>
        <v>556</v>
      </c>
      <c r="K244" s="16">
        <f t="shared" si="28"/>
        <v>2481</v>
      </c>
      <c r="L244" s="14">
        <f t="shared" si="29"/>
        <v>556</v>
      </c>
      <c r="M244" s="44">
        <f t="shared" si="30"/>
        <v>2481</v>
      </c>
    </row>
    <row r="245" spans="1:13" x14ac:dyDescent="0.25">
      <c r="A245" s="14">
        <f>'Manager''s Page'!H245</f>
        <v>243</v>
      </c>
      <c r="B245" s="15">
        <f t="shared" si="31"/>
        <v>2481</v>
      </c>
      <c r="C245" s="16">
        <f>'Manager''s Page'!I245</f>
        <v>886</v>
      </c>
      <c r="D245" s="16">
        <f t="shared" si="24"/>
        <v>886</v>
      </c>
      <c r="E245" s="16">
        <f t="shared" si="25"/>
        <v>0</v>
      </c>
      <c r="F245" s="16">
        <f t="shared" si="26"/>
        <v>1595</v>
      </c>
      <c r="G245" s="17">
        <f>F245*(Constant!$B$11/365)</f>
        <v>117.1123287671233</v>
      </c>
      <c r="H245" s="16">
        <f>IF(F245&lt;'Manager''s Page'!$B$11,'Manager''s Page'!$B$14,0)</f>
        <v>0</v>
      </c>
      <c r="I245" s="17" cm="1">
        <f t="array" ref="I245">_xlfn.IFS(H245&lt;Constant!$A$3,0,H245&lt;Constant!$A$4,375,H245&lt;Constant!$A$5,275,H245&lt;Constant!$A$6,175)</f>
        <v>0</v>
      </c>
      <c r="J245" s="16">
        <f t="shared" si="27"/>
        <v>886</v>
      </c>
      <c r="K245" s="16">
        <f t="shared" si="28"/>
        <v>1595</v>
      </c>
      <c r="L245" s="14">
        <f t="shared" si="29"/>
        <v>886</v>
      </c>
      <c r="M245" s="44">
        <f t="shared" si="30"/>
        <v>1595</v>
      </c>
    </row>
    <row r="246" spans="1:13" x14ac:dyDescent="0.25">
      <c r="A246" s="14">
        <f>'Manager''s Page'!H246</f>
        <v>244</v>
      </c>
      <c r="B246" s="15">
        <f t="shared" si="31"/>
        <v>1595</v>
      </c>
      <c r="C246" s="16">
        <f>'Manager''s Page'!I246</f>
        <v>717</v>
      </c>
      <c r="D246" s="16">
        <f t="shared" si="24"/>
        <v>717</v>
      </c>
      <c r="E246" s="16">
        <f t="shared" si="25"/>
        <v>0</v>
      </c>
      <c r="F246" s="16">
        <f t="shared" si="26"/>
        <v>878</v>
      </c>
      <c r="G246" s="17">
        <f>F246*(Constant!$B$11/365)</f>
        <v>64.466849315068501</v>
      </c>
      <c r="H246" s="16">
        <f>IF(F246&lt;'Manager''s Page'!$B$11,'Manager''s Page'!$B$14,0)</f>
        <v>0</v>
      </c>
      <c r="I246" s="17" cm="1">
        <f t="array" ref="I246">_xlfn.IFS(H246&lt;Constant!$A$3,0,H246&lt;Constant!$A$4,375,H246&lt;Constant!$A$5,275,H246&lt;Constant!$A$6,175)</f>
        <v>0</v>
      </c>
      <c r="J246" s="16">
        <f t="shared" si="27"/>
        <v>717</v>
      </c>
      <c r="K246" s="16">
        <f t="shared" si="28"/>
        <v>878</v>
      </c>
      <c r="L246" s="14">
        <f t="shared" si="29"/>
        <v>717</v>
      </c>
      <c r="M246" s="44">
        <f t="shared" si="30"/>
        <v>878</v>
      </c>
    </row>
    <row r="247" spans="1:13" x14ac:dyDescent="0.25">
      <c r="A247" s="14">
        <f>'Manager''s Page'!H247</f>
        <v>245</v>
      </c>
      <c r="B247" s="15">
        <f t="shared" si="31"/>
        <v>878</v>
      </c>
      <c r="C247" s="16">
        <f>'Manager''s Page'!I247</f>
        <v>946</v>
      </c>
      <c r="D247" s="16">
        <f t="shared" si="24"/>
        <v>878</v>
      </c>
      <c r="E247" s="16">
        <f t="shared" si="25"/>
        <v>68</v>
      </c>
      <c r="F247" s="16">
        <f t="shared" si="26"/>
        <v>0</v>
      </c>
      <c r="G247" s="17">
        <f>F247*(Constant!$B$11/365)</f>
        <v>0</v>
      </c>
      <c r="H247" s="16">
        <f>IF(F247&lt;'Manager''s Page'!$B$11,'Manager''s Page'!$B$14,0)</f>
        <v>5000</v>
      </c>
      <c r="I247" s="17" cm="1">
        <f t="array" ref="I247">_xlfn.IFS(H247&lt;Constant!$A$3,0,H247&lt;Constant!$A$4,375,H247&lt;Constant!$A$5,275,H247&lt;Constant!$A$6,175)</f>
        <v>275</v>
      </c>
      <c r="J247" s="16">
        <f t="shared" si="27"/>
        <v>946</v>
      </c>
      <c r="K247" s="16">
        <f t="shared" si="28"/>
        <v>0</v>
      </c>
      <c r="L247" s="14">
        <f t="shared" si="29"/>
        <v>946</v>
      </c>
      <c r="M247" s="44">
        <f t="shared" si="30"/>
        <v>0</v>
      </c>
    </row>
    <row r="248" spans="1:13" x14ac:dyDescent="0.25">
      <c r="A248" s="14">
        <f>'Manager''s Page'!H248</f>
        <v>246</v>
      </c>
      <c r="B248" s="15">
        <f t="shared" si="31"/>
        <v>5000</v>
      </c>
      <c r="C248" s="16">
        <f>'Manager''s Page'!I248</f>
        <v>577</v>
      </c>
      <c r="D248" s="16">
        <f t="shared" si="24"/>
        <v>577</v>
      </c>
      <c r="E248" s="16">
        <f t="shared" si="25"/>
        <v>0</v>
      </c>
      <c r="F248" s="16">
        <f t="shared" si="26"/>
        <v>4423</v>
      </c>
      <c r="G248" s="17">
        <f>F248*(Constant!$B$11/365)</f>
        <v>324.75726027397263</v>
      </c>
      <c r="H248" s="16">
        <f>IF(F248&lt;'Manager''s Page'!$B$11,'Manager''s Page'!$B$14,0)</f>
        <v>0</v>
      </c>
      <c r="I248" s="17" cm="1">
        <f t="array" ref="I248">_xlfn.IFS(H248&lt;Constant!$A$3,0,H248&lt;Constant!$A$4,375,H248&lt;Constant!$A$5,275,H248&lt;Constant!$A$6,175)</f>
        <v>0</v>
      </c>
      <c r="J248" s="16">
        <f t="shared" si="27"/>
        <v>577</v>
      </c>
      <c r="K248" s="16">
        <f t="shared" si="28"/>
        <v>4423</v>
      </c>
      <c r="L248" s="14">
        <f t="shared" si="29"/>
        <v>577</v>
      </c>
      <c r="M248" s="44">
        <f t="shared" si="30"/>
        <v>4423</v>
      </c>
    </row>
    <row r="249" spans="1:13" x14ac:dyDescent="0.25">
      <c r="A249" s="14">
        <f>'Manager''s Page'!H249</f>
        <v>247</v>
      </c>
      <c r="B249" s="15">
        <f t="shared" si="31"/>
        <v>4423</v>
      </c>
      <c r="C249" s="16">
        <f>'Manager''s Page'!I249</f>
        <v>365</v>
      </c>
      <c r="D249" s="16">
        <f t="shared" si="24"/>
        <v>365</v>
      </c>
      <c r="E249" s="16">
        <f t="shared" si="25"/>
        <v>0</v>
      </c>
      <c r="F249" s="16">
        <f t="shared" si="26"/>
        <v>4058</v>
      </c>
      <c r="G249" s="17">
        <f>F249*(Constant!$B$11/365)</f>
        <v>297.95726027397262</v>
      </c>
      <c r="H249" s="16">
        <f>IF(F249&lt;'Manager''s Page'!$B$11,'Manager''s Page'!$B$14,0)</f>
        <v>0</v>
      </c>
      <c r="I249" s="17" cm="1">
        <f t="array" ref="I249">_xlfn.IFS(H249&lt;Constant!$A$3,0,H249&lt;Constant!$A$4,375,H249&lt;Constant!$A$5,275,H249&lt;Constant!$A$6,175)</f>
        <v>0</v>
      </c>
      <c r="J249" s="16">
        <f t="shared" si="27"/>
        <v>365</v>
      </c>
      <c r="K249" s="16">
        <f t="shared" si="28"/>
        <v>4058</v>
      </c>
      <c r="L249" s="14">
        <f t="shared" si="29"/>
        <v>365</v>
      </c>
      <c r="M249" s="44">
        <f t="shared" si="30"/>
        <v>4058</v>
      </c>
    </row>
    <row r="250" spans="1:13" x14ac:dyDescent="0.25">
      <c r="A250" s="14">
        <f>'Manager''s Page'!H250</f>
        <v>248</v>
      </c>
      <c r="B250" s="15">
        <f t="shared" si="31"/>
        <v>4058</v>
      </c>
      <c r="C250" s="16">
        <f>'Manager''s Page'!I250</f>
        <v>778</v>
      </c>
      <c r="D250" s="16">
        <f t="shared" si="24"/>
        <v>778</v>
      </c>
      <c r="E250" s="16">
        <f t="shared" si="25"/>
        <v>0</v>
      </c>
      <c r="F250" s="16">
        <f t="shared" si="26"/>
        <v>3280</v>
      </c>
      <c r="G250" s="17">
        <f>F250*(Constant!$B$11/365)</f>
        <v>240.83287671232878</v>
      </c>
      <c r="H250" s="16">
        <f>IF(F250&lt;'Manager''s Page'!$B$11,'Manager''s Page'!$B$14,0)</f>
        <v>0</v>
      </c>
      <c r="I250" s="17" cm="1">
        <f t="array" ref="I250">_xlfn.IFS(H250&lt;Constant!$A$3,0,H250&lt;Constant!$A$4,375,H250&lt;Constant!$A$5,275,H250&lt;Constant!$A$6,175)</f>
        <v>0</v>
      </c>
      <c r="J250" s="16">
        <f t="shared" si="27"/>
        <v>778</v>
      </c>
      <c r="K250" s="16">
        <f t="shared" si="28"/>
        <v>3280</v>
      </c>
      <c r="L250" s="14">
        <f t="shared" si="29"/>
        <v>778</v>
      </c>
      <c r="M250" s="44">
        <f t="shared" si="30"/>
        <v>3280</v>
      </c>
    </row>
    <row r="251" spans="1:13" x14ac:dyDescent="0.25">
      <c r="A251" s="14">
        <f>'Manager''s Page'!H251</f>
        <v>249</v>
      </c>
      <c r="B251" s="15">
        <f t="shared" si="31"/>
        <v>3280</v>
      </c>
      <c r="C251" s="16">
        <f>'Manager''s Page'!I251</f>
        <v>532</v>
      </c>
      <c r="D251" s="16">
        <f t="shared" si="24"/>
        <v>532</v>
      </c>
      <c r="E251" s="16">
        <f t="shared" si="25"/>
        <v>0</v>
      </c>
      <c r="F251" s="16">
        <f t="shared" si="26"/>
        <v>2748</v>
      </c>
      <c r="G251" s="17">
        <f>F251*(Constant!$B$11/365)</f>
        <v>201.77095890410962</v>
      </c>
      <c r="H251" s="16">
        <f>IF(F251&lt;'Manager''s Page'!$B$11,'Manager''s Page'!$B$14,0)</f>
        <v>0</v>
      </c>
      <c r="I251" s="17" cm="1">
        <f t="array" ref="I251">_xlfn.IFS(H251&lt;Constant!$A$3,0,H251&lt;Constant!$A$4,375,H251&lt;Constant!$A$5,275,H251&lt;Constant!$A$6,175)</f>
        <v>0</v>
      </c>
      <c r="J251" s="16">
        <f t="shared" si="27"/>
        <v>532</v>
      </c>
      <c r="K251" s="16">
        <f t="shared" si="28"/>
        <v>2748</v>
      </c>
      <c r="L251" s="14">
        <f t="shared" si="29"/>
        <v>532</v>
      </c>
      <c r="M251" s="44">
        <f t="shared" si="30"/>
        <v>2748</v>
      </c>
    </row>
    <row r="252" spans="1:13" x14ac:dyDescent="0.25">
      <c r="A252" s="14">
        <f>'Manager''s Page'!H252</f>
        <v>250</v>
      </c>
      <c r="B252" s="15">
        <f t="shared" si="31"/>
        <v>2748</v>
      </c>
      <c r="C252" s="16">
        <f>'Manager''s Page'!I252</f>
        <v>329</v>
      </c>
      <c r="D252" s="16">
        <f t="shared" si="24"/>
        <v>329</v>
      </c>
      <c r="E252" s="16">
        <f t="shared" si="25"/>
        <v>0</v>
      </c>
      <c r="F252" s="16">
        <f t="shared" si="26"/>
        <v>2419</v>
      </c>
      <c r="G252" s="17">
        <f>F252*(Constant!$B$11/365)</f>
        <v>177.61424657534249</v>
      </c>
      <c r="H252" s="16">
        <f>IF(F252&lt;'Manager''s Page'!$B$11,'Manager''s Page'!$B$14,0)</f>
        <v>0</v>
      </c>
      <c r="I252" s="17" cm="1">
        <f t="array" ref="I252">_xlfn.IFS(H252&lt;Constant!$A$3,0,H252&lt;Constant!$A$4,375,H252&lt;Constant!$A$5,275,H252&lt;Constant!$A$6,175)</f>
        <v>0</v>
      </c>
      <c r="J252" s="16">
        <f t="shared" si="27"/>
        <v>329</v>
      </c>
      <c r="K252" s="16">
        <f t="shared" si="28"/>
        <v>2419</v>
      </c>
      <c r="L252" s="14">
        <f t="shared" si="29"/>
        <v>329</v>
      </c>
      <c r="M252" s="44">
        <f t="shared" si="30"/>
        <v>2419</v>
      </c>
    </row>
    <row r="253" spans="1:13" x14ac:dyDescent="0.25">
      <c r="A253" s="14">
        <f>'Manager''s Page'!H253</f>
        <v>251</v>
      </c>
      <c r="B253" s="15">
        <f t="shared" si="31"/>
        <v>2419</v>
      </c>
      <c r="C253" s="16">
        <f>'Manager''s Page'!I253</f>
        <v>330</v>
      </c>
      <c r="D253" s="16">
        <f t="shared" si="24"/>
        <v>330</v>
      </c>
      <c r="E253" s="16">
        <f t="shared" si="25"/>
        <v>0</v>
      </c>
      <c r="F253" s="16">
        <f t="shared" si="26"/>
        <v>2089</v>
      </c>
      <c r="G253" s="17">
        <f>F253*(Constant!$B$11/365)</f>
        <v>153.38410958904112</v>
      </c>
      <c r="H253" s="16">
        <f>IF(F253&lt;'Manager''s Page'!$B$11,'Manager''s Page'!$B$14,0)</f>
        <v>0</v>
      </c>
      <c r="I253" s="17" cm="1">
        <f t="array" ref="I253">_xlfn.IFS(H253&lt;Constant!$A$3,0,H253&lt;Constant!$A$4,375,H253&lt;Constant!$A$5,275,H253&lt;Constant!$A$6,175)</f>
        <v>0</v>
      </c>
      <c r="J253" s="16">
        <f t="shared" si="27"/>
        <v>330</v>
      </c>
      <c r="K253" s="16">
        <f t="shared" si="28"/>
        <v>2089</v>
      </c>
      <c r="L253" s="14">
        <f t="shared" si="29"/>
        <v>330</v>
      </c>
      <c r="M253" s="44">
        <f t="shared" si="30"/>
        <v>2089</v>
      </c>
    </row>
    <row r="254" spans="1:13" x14ac:dyDescent="0.25">
      <c r="A254" s="14">
        <f>'Manager''s Page'!H254</f>
        <v>252</v>
      </c>
      <c r="B254" s="15">
        <f t="shared" si="31"/>
        <v>2089</v>
      </c>
      <c r="C254" s="16">
        <f>'Manager''s Page'!I254</f>
        <v>368</v>
      </c>
      <c r="D254" s="16">
        <f t="shared" si="24"/>
        <v>368</v>
      </c>
      <c r="E254" s="16">
        <f t="shared" si="25"/>
        <v>0</v>
      </c>
      <c r="F254" s="16">
        <f t="shared" si="26"/>
        <v>1721</v>
      </c>
      <c r="G254" s="17">
        <f>F254*(Constant!$B$11/365)</f>
        <v>126.36383561643837</v>
      </c>
      <c r="H254" s="16">
        <f>IF(F254&lt;'Manager''s Page'!$B$11,'Manager''s Page'!$B$14,0)</f>
        <v>0</v>
      </c>
      <c r="I254" s="17" cm="1">
        <f t="array" ref="I254">_xlfn.IFS(H254&lt;Constant!$A$3,0,H254&lt;Constant!$A$4,375,H254&lt;Constant!$A$5,275,H254&lt;Constant!$A$6,175)</f>
        <v>0</v>
      </c>
      <c r="J254" s="16">
        <f t="shared" si="27"/>
        <v>368</v>
      </c>
      <c r="K254" s="16">
        <f t="shared" si="28"/>
        <v>1721</v>
      </c>
      <c r="L254" s="14">
        <f t="shared" si="29"/>
        <v>368</v>
      </c>
      <c r="M254" s="44">
        <f t="shared" si="30"/>
        <v>1721</v>
      </c>
    </row>
    <row r="255" spans="1:13" x14ac:dyDescent="0.25">
      <c r="A255" s="14">
        <f>'Manager''s Page'!H255</f>
        <v>253</v>
      </c>
      <c r="B255" s="15">
        <f t="shared" si="31"/>
        <v>1721</v>
      </c>
      <c r="C255" s="16">
        <f>'Manager''s Page'!I255</f>
        <v>793</v>
      </c>
      <c r="D255" s="16">
        <f t="shared" si="24"/>
        <v>793</v>
      </c>
      <c r="E255" s="16">
        <f t="shared" si="25"/>
        <v>0</v>
      </c>
      <c r="F255" s="16">
        <f t="shared" si="26"/>
        <v>928</v>
      </c>
      <c r="G255" s="17">
        <f>F255*(Constant!$B$11/365)</f>
        <v>68.138082191780825</v>
      </c>
      <c r="H255" s="16">
        <f>IF(F255&lt;'Manager''s Page'!$B$11,'Manager''s Page'!$B$14,0)</f>
        <v>0</v>
      </c>
      <c r="I255" s="17" cm="1">
        <f t="array" ref="I255">_xlfn.IFS(H255&lt;Constant!$A$3,0,H255&lt;Constant!$A$4,375,H255&lt;Constant!$A$5,275,H255&lt;Constant!$A$6,175)</f>
        <v>0</v>
      </c>
      <c r="J255" s="16">
        <f t="shared" si="27"/>
        <v>793</v>
      </c>
      <c r="K255" s="16">
        <f t="shared" si="28"/>
        <v>928</v>
      </c>
      <c r="L255" s="14">
        <f t="shared" si="29"/>
        <v>793</v>
      </c>
      <c r="M255" s="44">
        <f t="shared" si="30"/>
        <v>928</v>
      </c>
    </row>
    <row r="256" spans="1:13" x14ac:dyDescent="0.25">
      <c r="A256" s="14">
        <f>'Manager''s Page'!H256</f>
        <v>254</v>
      </c>
      <c r="B256" s="15">
        <f t="shared" si="31"/>
        <v>928</v>
      </c>
      <c r="C256" s="16">
        <f>'Manager''s Page'!I256</f>
        <v>910</v>
      </c>
      <c r="D256" s="16">
        <f t="shared" si="24"/>
        <v>910</v>
      </c>
      <c r="E256" s="16">
        <f t="shared" si="25"/>
        <v>0</v>
      </c>
      <c r="F256" s="16">
        <f t="shared" si="26"/>
        <v>18</v>
      </c>
      <c r="G256" s="17">
        <f>F256*(Constant!$B$11/365)</f>
        <v>1.3216438356164384</v>
      </c>
      <c r="H256" s="16">
        <f>IF(F256&lt;'Manager''s Page'!$B$11,'Manager''s Page'!$B$14,0)</f>
        <v>5000</v>
      </c>
      <c r="I256" s="17" cm="1">
        <f t="array" ref="I256">_xlfn.IFS(H256&lt;Constant!$A$3,0,H256&lt;Constant!$A$4,375,H256&lt;Constant!$A$5,275,H256&lt;Constant!$A$6,175)</f>
        <v>275</v>
      </c>
      <c r="J256" s="16">
        <f t="shared" si="27"/>
        <v>910</v>
      </c>
      <c r="K256" s="16">
        <f t="shared" si="28"/>
        <v>18</v>
      </c>
      <c r="L256" s="14">
        <f t="shared" si="29"/>
        <v>910</v>
      </c>
      <c r="M256" s="44">
        <f t="shared" si="30"/>
        <v>18</v>
      </c>
    </row>
    <row r="257" spans="1:13" x14ac:dyDescent="0.25">
      <c r="A257" s="14">
        <f>'Manager''s Page'!H257</f>
        <v>255</v>
      </c>
      <c r="B257" s="15">
        <f t="shared" si="31"/>
        <v>5018</v>
      </c>
      <c r="C257" s="16">
        <f>'Manager''s Page'!I257</f>
        <v>828</v>
      </c>
      <c r="D257" s="16">
        <f t="shared" si="24"/>
        <v>828</v>
      </c>
      <c r="E257" s="16">
        <f t="shared" si="25"/>
        <v>0</v>
      </c>
      <c r="F257" s="16">
        <f t="shared" si="26"/>
        <v>4190</v>
      </c>
      <c r="G257" s="17">
        <f>F257*(Constant!$B$11/365)</f>
        <v>307.64931506849319</v>
      </c>
      <c r="H257" s="16">
        <f>IF(F257&lt;'Manager''s Page'!$B$11,'Manager''s Page'!$B$14,0)</f>
        <v>0</v>
      </c>
      <c r="I257" s="17" cm="1">
        <f t="array" ref="I257">_xlfn.IFS(H257&lt;Constant!$A$3,0,H257&lt;Constant!$A$4,375,H257&lt;Constant!$A$5,275,H257&lt;Constant!$A$6,175)</f>
        <v>0</v>
      </c>
      <c r="J257" s="16">
        <f t="shared" si="27"/>
        <v>828</v>
      </c>
      <c r="K257" s="16">
        <f t="shared" si="28"/>
        <v>4190</v>
      </c>
      <c r="L257" s="14">
        <f t="shared" si="29"/>
        <v>828</v>
      </c>
      <c r="M257" s="44">
        <f t="shared" si="30"/>
        <v>4190</v>
      </c>
    </row>
    <row r="258" spans="1:13" x14ac:dyDescent="0.25">
      <c r="A258" s="14">
        <f>'Manager''s Page'!H258</f>
        <v>256</v>
      </c>
      <c r="B258" s="15">
        <f t="shared" si="31"/>
        <v>4190</v>
      </c>
      <c r="C258" s="16">
        <f>'Manager''s Page'!I258</f>
        <v>739</v>
      </c>
      <c r="D258" s="16">
        <f t="shared" si="24"/>
        <v>739</v>
      </c>
      <c r="E258" s="16">
        <f t="shared" si="25"/>
        <v>0</v>
      </c>
      <c r="F258" s="16">
        <f t="shared" si="26"/>
        <v>3451</v>
      </c>
      <c r="G258" s="17">
        <f>F258*(Constant!$B$11/365)</f>
        <v>253.38849315068495</v>
      </c>
      <c r="H258" s="16">
        <f>IF(F258&lt;'Manager''s Page'!$B$11,'Manager''s Page'!$B$14,0)</f>
        <v>0</v>
      </c>
      <c r="I258" s="17" cm="1">
        <f t="array" ref="I258">_xlfn.IFS(H258&lt;Constant!$A$3,0,H258&lt;Constant!$A$4,375,H258&lt;Constant!$A$5,275,H258&lt;Constant!$A$6,175)</f>
        <v>0</v>
      </c>
      <c r="J258" s="16">
        <f t="shared" si="27"/>
        <v>739</v>
      </c>
      <c r="K258" s="16">
        <f t="shared" si="28"/>
        <v>3451</v>
      </c>
      <c r="L258" s="14">
        <f t="shared" si="29"/>
        <v>739</v>
      </c>
      <c r="M258" s="44">
        <f t="shared" si="30"/>
        <v>3451</v>
      </c>
    </row>
    <row r="259" spans="1:13" x14ac:dyDescent="0.25">
      <c r="A259" s="14">
        <f>'Manager''s Page'!H259</f>
        <v>257</v>
      </c>
      <c r="B259" s="15">
        <f t="shared" si="31"/>
        <v>3451</v>
      </c>
      <c r="C259" s="16">
        <f>'Manager''s Page'!I259</f>
        <v>758</v>
      </c>
      <c r="D259" s="16">
        <f t="shared" si="24"/>
        <v>758</v>
      </c>
      <c r="E259" s="16">
        <f t="shared" si="25"/>
        <v>0</v>
      </c>
      <c r="F259" s="16">
        <f t="shared" si="26"/>
        <v>2693</v>
      </c>
      <c r="G259" s="17">
        <f>F259*(Constant!$B$11/365)</f>
        <v>197.73260273972605</v>
      </c>
      <c r="H259" s="16">
        <f>IF(F259&lt;'Manager''s Page'!$B$11,'Manager''s Page'!$B$14,0)</f>
        <v>0</v>
      </c>
      <c r="I259" s="17" cm="1">
        <f t="array" ref="I259">_xlfn.IFS(H259&lt;Constant!$A$3,0,H259&lt;Constant!$A$4,375,H259&lt;Constant!$A$5,275,H259&lt;Constant!$A$6,175)</f>
        <v>0</v>
      </c>
      <c r="J259" s="16">
        <f t="shared" si="27"/>
        <v>758</v>
      </c>
      <c r="K259" s="16">
        <f t="shared" si="28"/>
        <v>2693</v>
      </c>
      <c r="L259" s="14">
        <f t="shared" si="29"/>
        <v>758</v>
      </c>
      <c r="M259" s="44">
        <f t="shared" si="30"/>
        <v>2693</v>
      </c>
    </row>
    <row r="260" spans="1:13" x14ac:dyDescent="0.25">
      <c r="A260" s="14">
        <f>'Manager''s Page'!H260</f>
        <v>258</v>
      </c>
      <c r="B260" s="15">
        <f t="shared" si="31"/>
        <v>2693</v>
      </c>
      <c r="C260" s="16">
        <f>'Manager''s Page'!I260</f>
        <v>270</v>
      </c>
      <c r="D260" s="16">
        <f t="shared" ref="D260:D323" si="32">IF(B260&gt;C260,C260,B260)</f>
        <v>270</v>
      </c>
      <c r="E260" s="16">
        <f t="shared" ref="E260:E323" si="33">C260-D260</f>
        <v>0</v>
      </c>
      <c r="F260" s="16">
        <f t="shared" ref="F260:F323" si="34">B260-D260</f>
        <v>2423</v>
      </c>
      <c r="G260" s="17">
        <f>F260*(Constant!$B$11/365)</f>
        <v>177.90794520547948</v>
      </c>
      <c r="H260" s="16">
        <f>IF(F260&lt;'Manager''s Page'!$B$11,'Manager''s Page'!$B$14,0)</f>
        <v>0</v>
      </c>
      <c r="I260" s="17" cm="1">
        <f t="array" ref="I260">_xlfn.IFS(H260&lt;Constant!$A$3,0,H260&lt;Constant!$A$4,375,H260&lt;Constant!$A$5,275,H260&lt;Constant!$A$6,175)</f>
        <v>0</v>
      </c>
      <c r="J260" s="16">
        <f t="shared" ref="J260:J323" si="35">C260</f>
        <v>270</v>
      </c>
      <c r="K260" s="16">
        <f t="shared" ref="K260:K323" si="36">F260</f>
        <v>2423</v>
      </c>
      <c r="L260" s="14">
        <f t="shared" ref="L260:L323" si="37">IF(L$2=TRUE,J260,NA())</f>
        <v>270</v>
      </c>
      <c r="M260" s="44">
        <f t="shared" ref="M260:M323" si="38">IF(M$2=TRUE,K260,NA())</f>
        <v>2423</v>
      </c>
    </row>
    <row r="261" spans="1:13" x14ac:dyDescent="0.25">
      <c r="A261" s="14">
        <f>'Manager''s Page'!H261</f>
        <v>259</v>
      </c>
      <c r="B261" s="15">
        <f t="shared" ref="B261:B324" si="39">F260+H260</f>
        <v>2423</v>
      </c>
      <c r="C261" s="16">
        <f>'Manager''s Page'!I261</f>
        <v>840</v>
      </c>
      <c r="D261" s="16">
        <f t="shared" si="32"/>
        <v>840</v>
      </c>
      <c r="E261" s="16">
        <f t="shared" si="33"/>
        <v>0</v>
      </c>
      <c r="F261" s="16">
        <f t="shared" si="34"/>
        <v>1583</v>
      </c>
      <c r="G261" s="17">
        <f>F261*(Constant!$B$11/365)</f>
        <v>116.23123287671234</v>
      </c>
      <c r="H261" s="16">
        <f>IF(F261&lt;'Manager''s Page'!$B$11,'Manager''s Page'!$B$14,0)</f>
        <v>0</v>
      </c>
      <c r="I261" s="17" cm="1">
        <f t="array" ref="I261">_xlfn.IFS(H261&lt;Constant!$A$3,0,H261&lt;Constant!$A$4,375,H261&lt;Constant!$A$5,275,H261&lt;Constant!$A$6,175)</f>
        <v>0</v>
      </c>
      <c r="J261" s="16">
        <f t="shared" si="35"/>
        <v>840</v>
      </c>
      <c r="K261" s="16">
        <f t="shared" si="36"/>
        <v>1583</v>
      </c>
      <c r="L261" s="14">
        <f t="shared" si="37"/>
        <v>840</v>
      </c>
      <c r="M261" s="44">
        <f t="shared" si="38"/>
        <v>1583</v>
      </c>
    </row>
    <row r="262" spans="1:13" x14ac:dyDescent="0.25">
      <c r="A262" s="14">
        <f>'Manager''s Page'!H262</f>
        <v>260</v>
      </c>
      <c r="B262" s="15">
        <f t="shared" si="39"/>
        <v>1583</v>
      </c>
      <c r="C262" s="16">
        <f>'Manager''s Page'!I262</f>
        <v>258</v>
      </c>
      <c r="D262" s="16">
        <f t="shared" si="32"/>
        <v>258</v>
      </c>
      <c r="E262" s="16">
        <f t="shared" si="33"/>
        <v>0</v>
      </c>
      <c r="F262" s="16">
        <f t="shared" si="34"/>
        <v>1325</v>
      </c>
      <c r="G262" s="17">
        <f>F262*(Constant!$B$11/365)</f>
        <v>97.287671232876718</v>
      </c>
      <c r="H262" s="16">
        <f>IF(F262&lt;'Manager''s Page'!$B$11,'Manager''s Page'!$B$14,0)</f>
        <v>0</v>
      </c>
      <c r="I262" s="17" cm="1">
        <f t="array" ref="I262">_xlfn.IFS(H262&lt;Constant!$A$3,0,H262&lt;Constant!$A$4,375,H262&lt;Constant!$A$5,275,H262&lt;Constant!$A$6,175)</f>
        <v>0</v>
      </c>
      <c r="J262" s="16">
        <f t="shared" si="35"/>
        <v>258</v>
      </c>
      <c r="K262" s="16">
        <f t="shared" si="36"/>
        <v>1325</v>
      </c>
      <c r="L262" s="14">
        <f t="shared" si="37"/>
        <v>258</v>
      </c>
      <c r="M262" s="44">
        <f t="shared" si="38"/>
        <v>1325</v>
      </c>
    </row>
    <row r="263" spans="1:13" x14ac:dyDescent="0.25">
      <c r="A263" s="14">
        <f>'Manager''s Page'!H263</f>
        <v>261</v>
      </c>
      <c r="B263" s="15">
        <f t="shared" si="39"/>
        <v>1325</v>
      </c>
      <c r="C263" s="16">
        <f>'Manager''s Page'!I263</f>
        <v>824</v>
      </c>
      <c r="D263" s="16">
        <f t="shared" si="32"/>
        <v>824</v>
      </c>
      <c r="E263" s="16">
        <f t="shared" si="33"/>
        <v>0</v>
      </c>
      <c r="F263" s="16">
        <f t="shared" si="34"/>
        <v>501</v>
      </c>
      <c r="G263" s="17">
        <f>F263*(Constant!$B$11/365)</f>
        <v>36.785753424657536</v>
      </c>
      <c r="H263" s="16">
        <f>IF(F263&lt;'Manager''s Page'!$B$11,'Manager''s Page'!$B$14,0)</f>
        <v>0</v>
      </c>
      <c r="I263" s="17" cm="1">
        <f t="array" ref="I263">_xlfn.IFS(H263&lt;Constant!$A$3,0,H263&lt;Constant!$A$4,375,H263&lt;Constant!$A$5,275,H263&lt;Constant!$A$6,175)</f>
        <v>0</v>
      </c>
      <c r="J263" s="16">
        <f t="shared" si="35"/>
        <v>824</v>
      </c>
      <c r="K263" s="16">
        <f t="shared" si="36"/>
        <v>501</v>
      </c>
      <c r="L263" s="14">
        <f t="shared" si="37"/>
        <v>824</v>
      </c>
      <c r="M263" s="44">
        <f t="shared" si="38"/>
        <v>501</v>
      </c>
    </row>
    <row r="264" spans="1:13" x14ac:dyDescent="0.25">
      <c r="A264" s="14">
        <f>'Manager''s Page'!H264</f>
        <v>262</v>
      </c>
      <c r="B264" s="15">
        <f t="shared" si="39"/>
        <v>501</v>
      </c>
      <c r="C264" s="16">
        <f>'Manager''s Page'!I264</f>
        <v>571</v>
      </c>
      <c r="D264" s="16">
        <f t="shared" si="32"/>
        <v>501</v>
      </c>
      <c r="E264" s="16">
        <f t="shared" si="33"/>
        <v>70</v>
      </c>
      <c r="F264" s="16">
        <f t="shared" si="34"/>
        <v>0</v>
      </c>
      <c r="G264" s="17">
        <f>F264*(Constant!$B$11/365)</f>
        <v>0</v>
      </c>
      <c r="H264" s="16">
        <f>IF(F264&lt;'Manager''s Page'!$B$11,'Manager''s Page'!$B$14,0)</f>
        <v>5000</v>
      </c>
      <c r="I264" s="17" cm="1">
        <f t="array" ref="I264">_xlfn.IFS(H264&lt;Constant!$A$3,0,H264&lt;Constant!$A$4,375,H264&lt;Constant!$A$5,275,H264&lt;Constant!$A$6,175)</f>
        <v>275</v>
      </c>
      <c r="J264" s="16">
        <f t="shared" si="35"/>
        <v>571</v>
      </c>
      <c r="K264" s="16">
        <f t="shared" si="36"/>
        <v>0</v>
      </c>
      <c r="L264" s="14">
        <f t="shared" si="37"/>
        <v>571</v>
      </c>
      <c r="M264" s="44">
        <f t="shared" si="38"/>
        <v>0</v>
      </c>
    </row>
    <row r="265" spans="1:13" x14ac:dyDescent="0.25">
      <c r="A265" s="14">
        <f>'Manager''s Page'!H265</f>
        <v>263</v>
      </c>
      <c r="B265" s="15">
        <f t="shared" si="39"/>
        <v>5000</v>
      </c>
      <c r="C265" s="16">
        <f>'Manager''s Page'!I265</f>
        <v>561</v>
      </c>
      <c r="D265" s="16">
        <f t="shared" si="32"/>
        <v>561</v>
      </c>
      <c r="E265" s="16">
        <f t="shared" si="33"/>
        <v>0</v>
      </c>
      <c r="F265" s="16">
        <f t="shared" si="34"/>
        <v>4439</v>
      </c>
      <c r="G265" s="17">
        <f>F265*(Constant!$B$11/365)</f>
        <v>325.93205479452058</v>
      </c>
      <c r="H265" s="16">
        <f>IF(F265&lt;'Manager''s Page'!$B$11,'Manager''s Page'!$B$14,0)</f>
        <v>0</v>
      </c>
      <c r="I265" s="17" cm="1">
        <f t="array" ref="I265">_xlfn.IFS(H265&lt;Constant!$A$3,0,H265&lt;Constant!$A$4,375,H265&lt;Constant!$A$5,275,H265&lt;Constant!$A$6,175)</f>
        <v>0</v>
      </c>
      <c r="J265" s="16">
        <f t="shared" si="35"/>
        <v>561</v>
      </c>
      <c r="K265" s="16">
        <f t="shared" si="36"/>
        <v>4439</v>
      </c>
      <c r="L265" s="14">
        <f t="shared" si="37"/>
        <v>561</v>
      </c>
      <c r="M265" s="44">
        <f t="shared" si="38"/>
        <v>4439</v>
      </c>
    </row>
    <row r="266" spans="1:13" x14ac:dyDescent="0.25">
      <c r="A266" s="14">
        <f>'Manager''s Page'!H266</f>
        <v>264</v>
      </c>
      <c r="B266" s="15">
        <f t="shared" si="39"/>
        <v>4439</v>
      </c>
      <c r="C266" s="16">
        <f>'Manager''s Page'!I266</f>
        <v>547</v>
      </c>
      <c r="D266" s="16">
        <f t="shared" si="32"/>
        <v>547</v>
      </c>
      <c r="E266" s="16">
        <f t="shared" si="33"/>
        <v>0</v>
      </c>
      <c r="F266" s="16">
        <f t="shared" si="34"/>
        <v>3892</v>
      </c>
      <c r="G266" s="17">
        <f>F266*(Constant!$B$11/365)</f>
        <v>285.76876712328772</v>
      </c>
      <c r="H266" s="16">
        <f>IF(F266&lt;'Manager''s Page'!$B$11,'Manager''s Page'!$B$14,0)</f>
        <v>0</v>
      </c>
      <c r="I266" s="17" cm="1">
        <f t="array" ref="I266">_xlfn.IFS(H266&lt;Constant!$A$3,0,H266&lt;Constant!$A$4,375,H266&lt;Constant!$A$5,275,H266&lt;Constant!$A$6,175)</f>
        <v>0</v>
      </c>
      <c r="J266" s="16">
        <f t="shared" si="35"/>
        <v>547</v>
      </c>
      <c r="K266" s="16">
        <f t="shared" si="36"/>
        <v>3892</v>
      </c>
      <c r="L266" s="14">
        <f t="shared" si="37"/>
        <v>547</v>
      </c>
      <c r="M266" s="44">
        <f t="shared" si="38"/>
        <v>3892</v>
      </c>
    </row>
    <row r="267" spans="1:13" x14ac:dyDescent="0.25">
      <c r="A267" s="14">
        <f>'Manager''s Page'!H267</f>
        <v>265</v>
      </c>
      <c r="B267" s="15">
        <f t="shared" si="39"/>
        <v>3892</v>
      </c>
      <c r="C267" s="16">
        <f>'Manager''s Page'!I267</f>
        <v>776</v>
      </c>
      <c r="D267" s="16">
        <f t="shared" si="32"/>
        <v>776</v>
      </c>
      <c r="E267" s="16">
        <f t="shared" si="33"/>
        <v>0</v>
      </c>
      <c r="F267" s="16">
        <f t="shared" si="34"/>
        <v>3116</v>
      </c>
      <c r="G267" s="17">
        <f>F267*(Constant!$B$11/365)</f>
        <v>228.79123287671234</v>
      </c>
      <c r="H267" s="16">
        <f>IF(F267&lt;'Manager''s Page'!$B$11,'Manager''s Page'!$B$14,0)</f>
        <v>0</v>
      </c>
      <c r="I267" s="17" cm="1">
        <f t="array" ref="I267">_xlfn.IFS(H267&lt;Constant!$A$3,0,H267&lt;Constant!$A$4,375,H267&lt;Constant!$A$5,275,H267&lt;Constant!$A$6,175)</f>
        <v>0</v>
      </c>
      <c r="J267" s="16">
        <f t="shared" si="35"/>
        <v>776</v>
      </c>
      <c r="K267" s="16">
        <f t="shared" si="36"/>
        <v>3116</v>
      </c>
      <c r="L267" s="14">
        <f t="shared" si="37"/>
        <v>776</v>
      </c>
      <c r="M267" s="44">
        <f t="shared" si="38"/>
        <v>3116</v>
      </c>
    </row>
    <row r="268" spans="1:13" x14ac:dyDescent="0.25">
      <c r="A268" s="14">
        <f>'Manager''s Page'!H268</f>
        <v>266</v>
      </c>
      <c r="B268" s="15">
        <f t="shared" si="39"/>
        <v>3116</v>
      </c>
      <c r="C268" s="16">
        <f>'Manager''s Page'!I268</f>
        <v>964</v>
      </c>
      <c r="D268" s="16">
        <f t="shared" si="32"/>
        <v>964</v>
      </c>
      <c r="E268" s="16">
        <f t="shared" si="33"/>
        <v>0</v>
      </c>
      <c r="F268" s="16">
        <f t="shared" si="34"/>
        <v>2152</v>
      </c>
      <c r="G268" s="17">
        <f>F268*(Constant!$B$11/365)</f>
        <v>158.00986301369863</v>
      </c>
      <c r="H268" s="16">
        <f>IF(F268&lt;'Manager''s Page'!$B$11,'Manager''s Page'!$B$14,0)</f>
        <v>0</v>
      </c>
      <c r="I268" s="17" cm="1">
        <f t="array" ref="I268">_xlfn.IFS(H268&lt;Constant!$A$3,0,H268&lt;Constant!$A$4,375,H268&lt;Constant!$A$5,275,H268&lt;Constant!$A$6,175)</f>
        <v>0</v>
      </c>
      <c r="J268" s="16">
        <f t="shared" si="35"/>
        <v>964</v>
      </c>
      <c r="K268" s="16">
        <f t="shared" si="36"/>
        <v>2152</v>
      </c>
      <c r="L268" s="14">
        <f t="shared" si="37"/>
        <v>964</v>
      </c>
      <c r="M268" s="44">
        <f t="shared" si="38"/>
        <v>2152</v>
      </c>
    </row>
    <row r="269" spans="1:13" x14ac:dyDescent="0.25">
      <c r="A269" s="14">
        <f>'Manager''s Page'!H269</f>
        <v>267</v>
      </c>
      <c r="B269" s="15">
        <f t="shared" si="39"/>
        <v>2152</v>
      </c>
      <c r="C269" s="16">
        <f>'Manager''s Page'!I269</f>
        <v>595</v>
      </c>
      <c r="D269" s="16">
        <f t="shared" si="32"/>
        <v>595</v>
      </c>
      <c r="E269" s="16">
        <f t="shared" si="33"/>
        <v>0</v>
      </c>
      <c r="F269" s="16">
        <f t="shared" si="34"/>
        <v>1557</v>
      </c>
      <c r="G269" s="17">
        <f>F269*(Constant!$B$11/365)</f>
        <v>114.32219178082192</v>
      </c>
      <c r="H269" s="16">
        <f>IF(F269&lt;'Manager''s Page'!$B$11,'Manager''s Page'!$B$14,0)</f>
        <v>0</v>
      </c>
      <c r="I269" s="17" cm="1">
        <f t="array" ref="I269">_xlfn.IFS(H269&lt;Constant!$A$3,0,H269&lt;Constant!$A$4,375,H269&lt;Constant!$A$5,275,H269&lt;Constant!$A$6,175)</f>
        <v>0</v>
      </c>
      <c r="J269" s="16">
        <f t="shared" si="35"/>
        <v>595</v>
      </c>
      <c r="K269" s="16">
        <f t="shared" si="36"/>
        <v>1557</v>
      </c>
      <c r="L269" s="14">
        <f t="shared" si="37"/>
        <v>595</v>
      </c>
      <c r="M269" s="44">
        <f t="shared" si="38"/>
        <v>1557</v>
      </c>
    </row>
    <row r="270" spans="1:13" x14ac:dyDescent="0.25">
      <c r="A270" s="14">
        <f>'Manager''s Page'!H270</f>
        <v>268</v>
      </c>
      <c r="B270" s="15">
        <f t="shared" si="39"/>
        <v>1557</v>
      </c>
      <c r="C270" s="16">
        <f>'Manager''s Page'!I270</f>
        <v>698</v>
      </c>
      <c r="D270" s="16">
        <f t="shared" si="32"/>
        <v>698</v>
      </c>
      <c r="E270" s="16">
        <f t="shared" si="33"/>
        <v>0</v>
      </c>
      <c r="F270" s="16">
        <f t="shared" si="34"/>
        <v>859</v>
      </c>
      <c r="G270" s="17">
        <f>F270*(Constant!$B$11/365)</f>
        <v>63.071780821917812</v>
      </c>
      <c r="H270" s="16">
        <f>IF(F270&lt;'Manager''s Page'!$B$11,'Manager''s Page'!$B$14,0)</f>
        <v>0</v>
      </c>
      <c r="I270" s="17" cm="1">
        <f t="array" ref="I270">_xlfn.IFS(H270&lt;Constant!$A$3,0,H270&lt;Constant!$A$4,375,H270&lt;Constant!$A$5,275,H270&lt;Constant!$A$6,175)</f>
        <v>0</v>
      </c>
      <c r="J270" s="16">
        <f t="shared" si="35"/>
        <v>698</v>
      </c>
      <c r="K270" s="16">
        <f t="shared" si="36"/>
        <v>859</v>
      </c>
      <c r="L270" s="14">
        <f t="shared" si="37"/>
        <v>698</v>
      </c>
      <c r="M270" s="44">
        <f t="shared" si="38"/>
        <v>859</v>
      </c>
    </row>
    <row r="271" spans="1:13" x14ac:dyDescent="0.25">
      <c r="A271" s="14">
        <f>'Manager''s Page'!H271</f>
        <v>269</v>
      </c>
      <c r="B271" s="15">
        <f t="shared" si="39"/>
        <v>859</v>
      </c>
      <c r="C271" s="16">
        <f>'Manager''s Page'!I271</f>
        <v>657</v>
      </c>
      <c r="D271" s="16">
        <f t="shared" si="32"/>
        <v>657</v>
      </c>
      <c r="E271" s="16">
        <f t="shared" si="33"/>
        <v>0</v>
      </c>
      <c r="F271" s="16">
        <f t="shared" si="34"/>
        <v>202</v>
      </c>
      <c r="G271" s="17">
        <f>F271*(Constant!$B$11/365)</f>
        <v>14.831780821917809</v>
      </c>
      <c r="H271" s="16">
        <f>IF(F271&lt;'Manager''s Page'!$B$11,'Manager''s Page'!$B$14,0)</f>
        <v>5000</v>
      </c>
      <c r="I271" s="17" cm="1">
        <f t="array" ref="I271">_xlfn.IFS(H271&lt;Constant!$A$3,0,H271&lt;Constant!$A$4,375,H271&lt;Constant!$A$5,275,H271&lt;Constant!$A$6,175)</f>
        <v>275</v>
      </c>
      <c r="J271" s="16">
        <f t="shared" si="35"/>
        <v>657</v>
      </c>
      <c r="K271" s="16">
        <f t="shared" si="36"/>
        <v>202</v>
      </c>
      <c r="L271" s="14">
        <f t="shared" si="37"/>
        <v>657</v>
      </c>
      <c r="M271" s="44">
        <f t="shared" si="38"/>
        <v>202</v>
      </c>
    </row>
    <row r="272" spans="1:13" x14ac:dyDescent="0.25">
      <c r="A272" s="14">
        <f>'Manager''s Page'!H272</f>
        <v>270</v>
      </c>
      <c r="B272" s="15">
        <f t="shared" si="39"/>
        <v>5202</v>
      </c>
      <c r="C272" s="16">
        <f>'Manager''s Page'!I272</f>
        <v>898</v>
      </c>
      <c r="D272" s="16">
        <f t="shared" si="32"/>
        <v>898</v>
      </c>
      <c r="E272" s="16">
        <f t="shared" si="33"/>
        <v>0</v>
      </c>
      <c r="F272" s="16">
        <f t="shared" si="34"/>
        <v>4304</v>
      </c>
      <c r="G272" s="17">
        <f>F272*(Constant!$B$11/365)</f>
        <v>316.01972602739727</v>
      </c>
      <c r="H272" s="16">
        <f>IF(F272&lt;'Manager''s Page'!$B$11,'Manager''s Page'!$B$14,0)</f>
        <v>0</v>
      </c>
      <c r="I272" s="17" cm="1">
        <f t="array" ref="I272">_xlfn.IFS(H272&lt;Constant!$A$3,0,H272&lt;Constant!$A$4,375,H272&lt;Constant!$A$5,275,H272&lt;Constant!$A$6,175)</f>
        <v>0</v>
      </c>
      <c r="J272" s="16">
        <f t="shared" si="35"/>
        <v>898</v>
      </c>
      <c r="K272" s="16">
        <f t="shared" si="36"/>
        <v>4304</v>
      </c>
      <c r="L272" s="14">
        <f t="shared" si="37"/>
        <v>898</v>
      </c>
      <c r="M272" s="44">
        <f t="shared" si="38"/>
        <v>4304</v>
      </c>
    </row>
    <row r="273" spans="1:13" x14ac:dyDescent="0.25">
      <c r="A273" s="14">
        <f>'Manager''s Page'!H273</f>
        <v>271</v>
      </c>
      <c r="B273" s="15">
        <f t="shared" si="39"/>
        <v>4304</v>
      </c>
      <c r="C273" s="16">
        <f>'Manager''s Page'!I273</f>
        <v>792</v>
      </c>
      <c r="D273" s="16">
        <f t="shared" si="32"/>
        <v>792</v>
      </c>
      <c r="E273" s="16">
        <f t="shared" si="33"/>
        <v>0</v>
      </c>
      <c r="F273" s="16">
        <f t="shared" si="34"/>
        <v>3512</v>
      </c>
      <c r="G273" s="17">
        <f>F273*(Constant!$B$11/365)</f>
        <v>257.867397260274</v>
      </c>
      <c r="H273" s="16">
        <f>IF(F273&lt;'Manager''s Page'!$B$11,'Manager''s Page'!$B$14,0)</f>
        <v>0</v>
      </c>
      <c r="I273" s="17" cm="1">
        <f t="array" ref="I273">_xlfn.IFS(H273&lt;Constant!$A$3,0,H273&lt;Constant!$A$4,375,H273&lt;Constant!$A$5,275,H273&lt;Constant!$A$6,175)</f>
        <v>0</v>
      </c>
      <c r="J273" s="16">
        <f t="shared" si="35"/>
        <v>792</v>
      </c>
      <c r="K273" s="16">
        <f t="shared" si="36"/>
        <v>3512</v>
      </c>
      <c r="L273" s="14">
        <f t="shared" si="37"/>
        <v>792</v>
      </c>
      <c r="M273" s="44">
        <f t="shared" si="38"/>
        <v>3512</v>
      </c>
    </row>
    <row r="274" spans="1:13" x14ac:dyDescent="0.25">
      <c r="A274" s="14">
        <f>'Manager''s Page'!H274</f>
        <v>272</v>
      </c>
      <c r="B274" s="15">
        <f t="shared" si="39"/>
        <v>3512</v>
      </c>
      <c r="C274" s="16">
        <f>'Manager''s Page'!I274</f>
        <v>381</v>
      </c>
      <c r="D274" s="16">
        <f t="shared" si="32"/>
        <v>381</v>
      </c>
      <c r="E274" s="16">
        <f t="shared" si="33"/>
        <v>0</v>
      </c>
      <c r="F274" s="16">
        <f t="shared" si="34"/>
        <v>3131</v>
      </c>
      <c r="G274" s="17">
        <f>F274*(Constant!$B$11/365)</f>
        <v>229.89260273972604</v>
      </c>
      <c r="H274" s="16">
        <f>IF(F274&lt;'Manager''s Page'!$B$11,'Manager''s Page'!$B$14,0)</f>
        <v>0</v>
      </c>
      <c r="I274" s="17" cm="1">
        <f t="array" ref="I274">_xlfn.IFS(H274&lt;Constant!$A$3,0,H274&lt;Constant!$A$4,375,H274&lt;Constant!$A$5,275,H274&lt;Constant!$A$6,175)</f>
        <v>0</v>
      </c>
      <c r="J274" s="16">
        <f t="shared" si="35"/>
        <v>381</v>
      </c>
      <c r="K274" s="16">
        <f t="shared" si="36"/>
        <v>3131</v>
      </c>
      <c r="L274" s="14">
        <f t="shared" si="37"/>
        <v>381</v>
      </c>
      <c r="M274" s="44">
        <f t="shared" si="38"/>
        <v>3131</v>
      </c>
    </row>
    <row r="275" spans="1:13" x14ac:dyDescent="0.25">
      <c r="A275" s="14">
        <f>'Manager''s Page'!H275</f>
        <v>273</v>
      </c>
      <c r="B275" s="15">
        <f t="shared" si="39"/>
        <v>3131</v>
      </c>
      <c r="C275" s="16">
        <f>'Manager''s Page'!I275</f>
        <v>556</v>
      </c>
      <c r="D275" s="16">
        <f t="shared" si="32"/>
        <v>556</v>
      </c>
      <c r="E275" s="16">
        <f t="shared" si="33"/>
        <v>0</v>
      </c>
      <c r="F275" s="16">
        <f t="shared" si="34"/>
        <v>2575</v>
      </c>
      <c r="G275" s="17">
        <f>F275*(Constant!$B$11/365)</f>
        <v>189.06849315068496</v>
      </c>
      <c r="H275" s="16">
        <f>IF(F275&lt;'Manager''s Page'!$B$11,'Manager''s Page'!$B$14,0)</f>
        <v>0</v>
      </c>
      <c r="I275" s="17" cm="1">
        <f t="array" ref="I275">_xlfn.IFS(H275&lt;Constant!$A$3,0,H275&lt;Constant!$A$4,375,H275&lt;Constant!$A$5,275,H275&lt;Constant!$A$6,175)</f>
        <v>0</v>
      </c>
      <c r="J275" s="16">
        <f t="shared" si="35"/>
        <v>556</v>
      </c>
      <c r="K275" s="16">
        <f t="shared" si="36"/>
        <v>2575</v>
      </c>
      <c r="L275" s="14">
        <f t="shared" si="37"/>
        <v>556</v>
      </c>
      <c r="M275" s="44">
        <f t="shared" si="38"/>
        <v>2575</v>
      </c>
    </row>
    <row r="276" spans="1:13" x14ac:dyDescent="0.25">
      <c r="A276" s="14">
        <f>'Manager''s Page'!H276</f>
        <v>274</v>
      </c>
      <c r="B276" s="15">
        <f t="shared" si="39"/>
        <v>2575</v>
      </c>
      <c r="C276" s="16">
        <f>'Manager''s Page'!I276</f>
        <v>362</v>
      </c>
      <c r="D276" s="16">
        <f t="shared" si="32"/>
        <v>362</v>
      </c>
      <c r="E276" s="16">
        <f t="shared" si="33"/>
        <v>0</v>
      </c>
      <c r="F276" s="16">
        <f t="shared" si="34"/>
        <v>2213</v>
      </c>
      <c r="G276" s="17">
        <f>F276*(Constant!$B$11/365)</f>
        <v>162.48876712328769</v>
      </c>
      <c r="H276" s="16">
        <f>IF(F276&lt;'Manager''s Page'!$B$11,'Manager''s Page'!$B$14,0)</f>
        <v>0</v>
      </c>
      <c r="I276" s="17" cm="1">
        <f t="array" ref="I276">_xlfn.IFS(H276&lt;Constant!$A$3,0,H276&lt;Constant!$A$4,375,H276&lt;Constant!$A$5,275,H276&lt;Constant!$A$6,175)</f>
        <v>0</v>
      </c>
      <c r="J276" s="16">
        <f t="shared" si="35"/>
        <v>362</v>
      </c>
      <c r="K276" s="16">
        <f t="shared" si="36"/>
        <v>2213</v>
      </c>
      <c r="L276" s="14">
        <f t="shared" si="37"/>
        <v>362</v>
      </c>
      <c r="M276" s="44">
        <f t="shared" si="38"/>
        <v>2213</v>
      </c>
    </row>
    <row r="277" spans="1:13" x14ac:dyDescent="0.25">
      <c r="A277" s="14">
        <f>'Manager''s Page'!H277</f>
        <v>275</v>
      </c>
      <c r="B277" s="15">
        <f t="shared" si="39"/>
        <v>2213</v>
      </c>
      <c r="C277" s="16">
        <f>'Manager''s Page'!I277</f>
        <v>223</v>
      </c>
      <c r="D277" s="16">
        <f t="shared" si="32"/>
        <v>223</v>
      </c>
      <c r="E277" s="16">
        <f t="shared" si="33"/>
        <v>0</v>
      </c>
      <c r="F277" s="16">
        <f t="shared" si="34"/>
        <v>1990</v>
      </c>
      <c r="G277" s="17">
        <f>F277*(Constant!$B$11/365)</f>
        <v>146.11506849315069</v>
      </c>
      <c r="H277" s="16">
        <f>IF(F277&lt;'Manager''s Page'!$B$11,'Manager''s Page'!$B$14,0)</f>
        <v>0</v>
      </c>
      <c r="I277" s="17" cm="1">
        <f t="array" ref="I277">_xlfn.IFS(H277&lt;Constant!$A$3,0,H277&lt;Constant!$A$4,375,H277&lt;Constant!$A$5,275,H277&lt;Constant!$A$6,175)</f>
        <v>0</v>
      </c>
      <c r="J277" s="16">
        <f t="shared" si="35"/>
        <v>223</v>
      </c>
      <c r="K277" s="16">
        <f t="shared" si="36"/>
        <v>1990</v>
      </c>
      <c r="L277" s="14">
        <f t="shared" si="37"/>
        <v>223</v>
      </c>
      <c r="M277" s="44">
        <f t="shared" si="38"/>
        <v>1990</v>
      </c>
    </row>
    <row r="278" spans="1:13" x14ac:dyDescent="0.25">
      <c r="A278" s="14">
        <f>'Manager''s Page'!H278</f>
        <v>276</v>
      </c>
      <c r="B278" s="15">
        <f t="shared" si="39"/>
        <v>1990</v>
      </c>
      <c r="C278" s="16">
        <f>'Manager''s Page'!I278</f>
        <v>600</v>
      </c>
      <c r="D278" s="16">
        <f t="shared" si="32"/>
        <v>600</v>
      </c>
      <c r="E278" s="16">
        <f t="shared" si="33"/>
        <v>0</v>
      </c>
      <c r="F278" s="16">
        <f t="shared" si="34"/>
        <v>1390</v>
      </c>
      <c r="G278" s="17">
        <f>F278*(Constant!$B$11/365)</f>
        <v>102.06027397260274</v>
      </c>
      <c r="H278" s="16">
        <f>IF(F278&lt;'Manager''s Page'!$B$11,'Manager''s Page'!$B$14,0)</f>
        <v>0</v>
      </c>
      <c r="I278" s="17" cm="1">
        <f t="array" ref="I278">_xlfn.IFS(H278&lt;Constant!$A$3,0,H278&lt;Constant!$A$4,375,H278&lt;Constant!$A$5,275,H278&lt;Constant!$A$6,175)</f>
        <v>0</v>
      </c>
      <c r="J278" s="16">
        <f t="shared" si="35"/>
        <v>600</v>
      </c>
      <c r="K278" s="16">
        <f t="shared" si="36"/>
        <v>1390</v>
      </c>
      <c r="L278" s="14">
        <f t="shared" si="37"/>
        <v>600</v>
      </c>
      <c r="M278" s="44">
        <f t="shared" si="38"/>
        <v>1390</v>
      </c>
    </row>
    <row r="279" spans="1:13" x14ac:dyDescent="0.25">
      <c r="A279" s="14">
        <f>'Manager''s Page'!H279</f>
        <v>277</v>
      </c>
      <c r="B279" s="15">
        <f t="shared" si="39"/>
        <v>1390</v>
      </c>
      <c r="C279" s="16">
        <f>'Manager''s Page'!I279</f>
        <v>396</v>
      </c>
      <c r="D279" s="16">
        <f t="shared" si="32"/>
        <v>396</v>
      </c>
      <c r="E279" s="16">
        <f t="shared" si="33"/>
        <v>0</v>
      </c>
      <c r="F279" s="16">
        <f t="shared" si="34"/>
        <v>994</v>
      </c>
      <c r="G279" s="17">
        <f>F279*(Constant!$B$11/365)</f>
        <v>72.984109589041097</v>
      </c>
      <c r="H279" s="16">
        <f>IF(F279&lt;'Manager''s Page'!$B$11,'Manager''s Page'!$B$14,0)</f>
        <v>0</v>
      </c>
      <c r="I279" s="17" cm="1">
        <f t="array" ref="I279">_xlfn.IFS(H279&lt;Constant!$A$3,0,H279&lt;Constant!$A$4,375,H279&lt;Constant!$A$5,275,H279&lt;Constant!$A$6,175)</f>
        <v>0</v>
      </c>
      <c r="J279" s="16">
        <f t="shared" si="35"/>
        <v>396</v>
      </c>
      <c r="K279" s="16">
        <f t="shared" si="36"/>
        <v>994</v>
      </c>
      <c r="L279" s="14">
        <f t="shared" si="37"/>
        <v>396</v>
      </c>
      <c r="M279" s="44">
        <f t="shared" si="38"/>
        <v>994</v>
      </c>
    </row>
    <row r="280" spans="1:13" x14ac:dyDescent="0.25">
      <c r="A280" s="14">
        <f>'Manager''s Page'!H280</f>
        <v>278</v>
      </c>
      <c r="B280" s="15">
        <f t="shared" si="39"/>
        <v>994</v>
      </c>
      <c r="C280" s="16">
        <f>'Manager''s Page'!I280</f>
        <v>908</v>
      </c>
      <c r="D280" s="16">
        <f t="shared" si="32"/>
        <v>908</v>
      </c>
      <c r="E280" s="16">
        <f t="shared" si="33"/>
        <v>0</v>
      </c>
      <c r="F280" s="16">
        <f t="shared" si="34"/>
        <v>86</v>
      </c>
      <c r="G280" s="17">
        <f>F280*(Constant!$B$11/365)</f>
        <v>6.3145205479452065</v>
      </c>
      <c r="H280" s="16">
        <f>IF(F280&lt;'Manager''s Page'!$B$11,'Manager''s Page'!$B$14,0)</f>
        <v>5000</v>
      </c>
      <c r="I280" s="17" cm="1">
        <f t="array" ref="I280">_xlfn.IFS(H280&lt;Constant!$A$3,0,H280&lt;Constant!$A$4,375,H280&lt;Constant!$A$5,275,H280&lt;Constant!$A$6,175)</f>
        <v>275</v>
      </c>
      <c r="J280" s="16">
        <f t="shared" si="35"/>
        <v>908</v>
      </c>
      <c r="K280" s="16">
        <f t="shared" si="36"/>
        <v>86</v>
      </c>
      <c r="L280" s="14">
        <f t="shared" si="37"/>
        <v>908</v>
      </c>
      <c r="M280" s="44">
        <f t="shared" si="38"/>
        <v>86</v>
      </c>
    </row>
    <row r="281" spans="1:13" x14ac:dyDescent="0.25">
      <c r="A281" s="14">
        <f>'Manager''s Page'!H281</f>
        <v>279</v>
      </c>
      <c r="B281" s="15">
        <f t="shared" si="39"/>
        <v>5086</v>
      </c>
      <c r="C281" s="16">
        <f>'Manager''s Page'!I281</f>
        <v>927</v>
      </c>
      <c r="D281" s="16">
        <f t="shared" si="32"/>
        <v>927</v>
      </c>
      <c r="E281" s="16">
        <f t="shared" si="33"/>
        <v>0</v>
      </c>
      <c r="F281" s="16">
        <f t="shared" si="34"/>
        <v>4159</v>
      </c>
      <c r="G281" s="17">
        <f>F281*(Constant!$B$11/365)</f>
        <v>305.37315068493155</v>
      </c>
      <c r="H281" s="16">
        <f>IF(F281&lt;'Manager''s Page'!$B$11,'Manager''s Page'!$B$14,0)</f>
        <v>0</v>
      </c>
      <c r="I281" s="17" cm="1">
        <f t="array" ref="I281">_xlfn.IFS(H281&lt;Constant!$A$3,0,H281&lt;Constant!$A$4,375,H281&lt;Constant!$A$5,275,H281&lt;Constant!$A$6,175)</f>
        <v>0</v>
      </c>
      <c r="J281" s="16">
        <f t="shared" si="35"/>
        <v>927</v>
      </c>
      <c r="K281" s="16">
        <f t="shared" si="36"/>
        <v>4159</v>
      </c>
      <c r="L281" s="14">
        <f t="shared" si="37"/>
        <v>927</v>
      </c>
      <c r="M281" s="44">
        <f t="shared" si="38"/>
        <v>4159</v>
      </c>
    </row>
    <row r="282" spans="1:13" x14ac:dyDescent="0.25">
      <c r="A282" s="14">
        <f>'Manager''s Page'!H282</f>
        <v>280</v>
      </c>
      <c r="B282" s="15">
        <f t="shared" si="39"/>
        <v>4159</v>
      </c>
      <c r="C282" s="16">
        <f>'Manager''s Page'!I282</f>
        <v>340</v>
      </c>
      <c r="D282" s="16">
        <f t="shared" si="32"/>
        <v>340</v>
      </c>
      <c r="E282" s="16">
        <f t="shared" si="33"/>
        <v>0</v>
      </c>
      <c r="F282" s="16">
        <f t="shared" si="34"/>
        <v>3819</v>
      </c>
      <c r="G282" s="17">
        <f>F282*(Constant!$B$11/365)</f>
        <v>280.4087671232877</v>
      </c>
      <c r="H282" s="16">
        <f>IF(F282&lt;'Manager''s Page'!$B$11,'Manager''s Page'!$B$14,0)</f>
        <v>0</v>
      </c>
      <c r="I282" s="17" cm="1">
        <f t="array" ref="I282">_xlfn.IFS(H282&lt;Constant!$A$3,0,H282&lt;Constant!$A$4,375,H282&lt;Constant!$A$5,275,H282&lt;Constant!$A$6,175)</f>
        <v>0</v>
      </c>
      <c r="J282" s="16">
        <f t="shared" si="35"/>
        <v>340</v>
      </c>
      <c r="K282" s="16">
        <f t="shared" si="36"/>
        <v>3819</v>
      </c>
      <c r="L282" s="14">
        <f t="shared" si="37"/>
        <v>340</v>
      </c>
      <c r="M282" s="44">
        <f t="shared" si="38"/>
        <v>3819</v>
      </c>
    </row>
    <row r="283" spans="1:13" x14ac:dyDescent="0.25">
      <c r="A283" s="14">
        <f>'Manager''s Page'!H283</f>
        <v>281</v>
      </c>
      <c r="B283" s="15">
        <f t="shared" si="39"/>
        <v>3819</v>
      </c>
      <c r="C283" s="16">
        <f>'Manager''s Page'!I283</f>
        <v>478</v>
      </c>
      <c r="D283" s="16">
        <f t="shared" si="32"/>
        <v>478</v>
      </c>
      <c r="E283" s="16">
        <f t="shared" si="33"/>
        <v>0</v>
      </c>
      <c r="F283" s="16">
        <f t="shared" si="34"/>
        <v>3341</v>
      </c>
      <c r="G283" s="17">
        <f>F283*(Constant!$B$11/365)</f>
        <v>245.31178082191784</v>
      </c>
      <c r="H283" s="16">
        <f>IF(F283&lt;'Manager''s Page'!$B$11,'Manager''s Page'!$B$14,0)</f>
        <v>0</v>
      </c>
      <c r="I283" s="17" cm="1">
        <f t="array" ref="I283">_xlfn.IFS(H283&lt;Constant!$A$3,0,H283&lt;Constant!$A$4,375,H283&lt;Constant!$A$5,275,H283&lt;Constant!$A$6,175)</f>
        <v>0</v>
      </c>
      <c r="J283" s="16">
        <f t="shared" si="35"/>
        <v>478</v>
      </c>
      <c r="K283" s="16">
        <f t="shared" si="36"/>
        <v>3341</v>
      </c>
      <c r="L283" s="14">
        <f t="shared" si="37"/>
        <v>478</v>
      </c>
      <c r="M283" s="44">
        <f t="shared" si="38"/>
        <v>3341</v>
      </c>
    </row>
    <row r="284" spans="1:13" x14ac:dyDescent="0.25">
      <c r="A284" s="14">
        <f>'Manager''s Page'!H284</f>
        <v>282</v>
      </c>
      <c r="B284" s="15">
        <f t="shared" si="39"/>
        <v>3341</v>
      </c>
      <c r="C284" s="16">
        <f>'Manager''s Page'!I284</f>
        <v>960</v>
      </c>
      <c r="D284" s="16">
        <f t="shared" si="32"/>
        <v>960</v>
      </c>
      <c r="E284" s="16">
        <f t="shared" si="33"/>
        <v>0</v>
      </c>
      <c r="F284" s="16">
        <f t="shared" si="34"/>
        <v>2381</v>
      </c>
      <c r="G284" s="17">
        <f>F284*(Constant!$B$11/365)</f>
        <v>174.82410958904111</v>
      </c>
      <c r="H284" s="16">
        <f>IF(F284&lt;'Manager''s Page'!$B$11,'Manager''s Page'!$B$14,0)</f>
        <v>0</v>
      </c>
      <c r="I284" s="17" cm="1">
        <f t="array" ref="I284">_xlfn.IFS(H284&lt;Constant!$A$3,0,H284&lt;Constant!$A$4,375,H284&lt;Constant!$A$5,275,H284&lt;Constant!$A$6,175)</f>
        <v>0</v>
      </c>
      <c r="J284" s="16">
        <f t="shared" si="35"/>
        <v>960</v>
      </c>
      <c r="K284" s="16">
        <f t="shared" si="36"/>
        <v>2381</v>
      </c>
      <c r="L284" s="14">
        <f t="shared" si="37"/>
        <v>960</v>
      </c>
      <c r="M284" s="44">
        <f t="shared" si="38"/>
        <v>2381</v>
      </c>
    </row>
    <row r="285" spans="1:13" x14ac:dyDescent="0.25">
      <c r="A285" s="14">
        <f>'Manager''s Page'!H285</f>
        <v>283</v>
      </c>
      <c r="B285" s="15">
        <f t="shared" si="39"/>
        <v>2381</v>
      </c>
      <c r="C285" s="16">
        <f>'Manager''s Page'!I285</f>
        <v>794</v>
      </c>
      <c r="D285" s="16">
        <f t="shared" si="32"/>
        <v>794</v>
      </c>
      <c r="E285" s="16">
        <f t="shared" si="33"/>
        <v>0</v>
      </c>
      <c r="F285" s="16">
        <f t="shared" si="34"/>
        <v>1587</v>
      </c>
      <c r="G285" s="17">
        <f>F285*(Constant!$B$11/365)</f>
        <v>116.52493150684933</v>
      </c>
      <c r="H285" s="16">
        <f>IF(F285&lt;'Manager''s Page'!$B$11,'Manager''s Page'!$B$14,0)</f>
        <v>0</v>
      </c>
      <c r="I285" s="17" cm="1">
        <f t="array" ref="I285">_xlfn.IFS(H285&lt;Constant!$A$3,0,H285&lt;Constant!$A$4,375,H285&lt;Constant!$A$5,275,H285&lt;Constant!$A$6,175)</f>
        <v>0</v>
      </c>
      <c r="J285" s="16">
        <f t="shared" si="35"/>
        <v>794</v>
      </c>
      <c r="K285" s="16">
        <f t="shared" si="36"/>
        <v>1587</v>
      </c>
      <c r="L285" s="14">
        <f t="shared" si="37"/>
        <v>794</v>
      </c>
      <c r="M285" s="44">
        <f t="shared" si="38"/>
        <v>1587</v>
      </c>
    </row>
    <row r="286" spans="1:13" x14ac:dyDescent="0.25">
      <c r="A286" s="14">
        <f>'Manager''s Page'!H286</f>
        <v>284</v>
      </c>
      <c r="B286" s="15">
        <f t="shared" si="39"/>
        <v>1587</v>
      </c>
      <c r="C286" s="16">
        <f>'Manager''s Page'!I286</f>
        <v>753</v>
      </c>
      <c r="D286" s="16">
        <f t="shared" si="32"/>
        <v>753</v>
      </c>
      <c r="E286" s="16">
        <f t="shared" si="33"/>
        <v>0</v>
      </c>
      <c r="F286" s="16">
        <f t="shared" si="34"/>
        <v>834</v>
      </c>
      <c r="G286" s="17">
        <f>F286*(Constant!$B$11/365)</f>
        <v>61.23616438356165</v>
      </c>
      <c r="H286" s="16">
        <f>IF(F286&lt;'Manager''s Page'!$B$11,'Manager''s Page'!$B$14,0)</f>
        <v>0</v>
      </c>
      <c r="I286" s="17" cm="1">
        <f t="array" ref="I286">_xlfn.IFS(H286&lt;Constant!$A$3,0,H286&lt;Constant!$A$4,375,H286&lt;Constant!$A$5,275,H286&lt;Constant!$A$6,175)</f>
        <v>0</v>
      </c>
      <c r="J286" s="16">
        <f t="shared" si="35"/>
        <v>753</v>
      </c>
      <c r="K286" s="16">
        <f t="shared" si="36"/>
        <v>834</v>
      </c>
      <c r="L286" s="14">
        <f t="shared" si="37"/>
        <v>753</v>
      </c>
      <c r="M286" s="44">
        <f t="shared" si="38"/>
        <v>834</v>
      </c>
    </row>
    <row r="287" spans="1:13" x14ac:dyDescent="0.25">
      <c r="A287" s="14">
        <f>'Manager''s Page'!H287</f>
        <v>285</v>
      </c>
      <c r="B287" s="15">
        <f t="shared" si="39"/>
        <v>834</v>
      </c>
      <c r="C287" s="16">
        <f>'Manager''s Page'!I287</f>
        <v>282</v>
      </c>
      <c r="D287" s="16">
        <f t="shared" si="32"/>
        <v>282</v>
      </c>
      <c r="E287" s="16">
        <f t="shared" si="33"/>
        <v>0</v>
      </c>
      <c r="F287" s="16">
        <f t="shared" si="34"/>
        <v>552</v>
      </c>
      <c r="G287" s="17">
        <f>F287*(Constant!$B$11/365)</f>
        <v>40.530410958904113</v>
      </c>
      <c r="H287" s="16">
        <f>IF(F287&lt;'Manager''s Page'!$B$11,'Manager''s Page'!$B$14,0)</f>
        <v>0</v>
      </c>
      <c r="I287" s="17" cm="1">
        <f t="array" ref="I287">_xlfn.IFS(H287&lt;Constant!$A$3,0,H287&lt;Constant!$A$4,375,H287&lt;Constant!$A$5,275,H287&lt;Constant!$A$6,175)</f>
        <v>0</v>
      </c>
      <c r="J287" s="16">
        <f t="shared" si="35"/>
        <v>282</v>
      </c>
      <c r="K287" s="16">
        <f t="shared" si="36"/>
        <v>552</v>
      </c>
      <c r="L287" s="14">
        <f t="shared" si="37"/>
        <v>282</v>
      </c>
      <c r="M287" s="44">
        <f t="shared" si="38"/>
        <v>552</v>
      </c>
    </row>
    <row r="288" spans="1:13" x14ac:dyDescent="0.25">
      <c r="A288" s="14">
        <f>'Manager''s Page'!H288</f>
        <v>286</v>
      </c>
      <c r="B288" s="15">
        <f t="shared" si="39"/>
        <v>552</v>
      </c>
      <c r="C288" s="16">
        <f>'Manager''s Page'!I288</f>
        <v>494</v>
      </c>
      <c r="D288" s="16">
        <f t="shared" si="32"/>
        <v>494</v>
      </c>
      <c r="E288" s="16">
        <f t="shared" si="33"/>
        <v>0</v>
      </c>
      <c r="F288" s="16">
        <f t="shared" si="34"/>
        <v>58</v>
      </c>
      <c r="G288" s="17">
        <f>F288*(Constant!$B$11/365)</f>
        <v>4.2586301369863016</v>
      </c>
      <c r="H288" s="16">
        <f>IF(F288&lt;'Manager''s Page'!$B$11,'Manager''s Page'!$B$14,0)</f>
        <v>5000</v>
      </c>
      <c r="I288" s="17" cm="1">
        <f t="array" ref="I288">_xlfn.IFS(H288&lt;Constant!$A$3,0,H288&lt;Constant!$A$4,375,H288&lt;Constant!$A$5,275,H288&lt;Constant!$A$6,175)</f>
        <v>275</v>
      </c>
      <c r="J288" s="16">
        <f t="shared" si="35"/>
        <v>494</v>
      </c>
      <c r="K288" s="16">
        <f t="shared" si="36"/>
        <v>58</v>
      </c>
      <c r="L288" s="14">
        <f t="shared" si="37"/>
        <v>494</v>
      </c>
      <c r="M288" s="44">
        <f t="shared" si="38"/>
        <v>58</v>
      </c>
    </row>
    <row r="289" spans="1:13" x14ac:dyDescent="0.25">
      <c r="A289" s="14">
        <f>'Manager''s Page'!H289</f>
        <v>287</v>
      </c>
      <c r="B289" s="15">
        <f t="shared" si="39"/>
        <v>5058</v>
      </c>
      <c r="C289" s="16">
        <f>'Manager''s Page'!I289</f>
        <v>648</v>
      </c>
      <c r="D289" s="16">
        <f t="shared" si="32"/>
        <v>648</v>
      </c>
      <c r="E289" s="16">
        <f t="shared" si="33"/>
        <v>0</v>
      </c>
      <c r="F289" s="16">
        <f t="shared" si="34"/>
        <v>4410</v>
      </c>
      <c r="G289" s="17">
        <f>F289*(Constant!$B$11/365)</f>
        <v>323.80273972602743</v>
      </c>
      <c r="H289" s="16">
        <f>IF(F289&lt;'Manager''s Page'!$B$11,'Manager''s Page'!$B$14,0)</f>
        <v>0</v>
      </c>
      <c r="I289" s="17" cm="1">
        <f t="array" ref="I289">_xlfn.IFS(H289&lt;Constant!$A$3,0,H289&lt;Constant!$A$4,375,H289&lt;Constant!$A$5,275,H289&lt;Constant!$A$6,175)</f>
        <v>0</v>
      </c>
      <c r="J289" s="16">
        <f t="shared" si="35"/>
        <v>648</v>
      </c>
      <c r="K289" s="16">
        <f t="shared" si="36"/>
        <v>4410</v>
      </c>
      <c r="L289" s="14">
        <f t="shared" si="37"/>
        <v>648</v>
      </c>
      <c r="M289" s="44">
        <f t="shared" si="38"/>
        <v>4410</v>
      </c>
    </row>
    <row r="290" spans="1:13" x14ac:dyDescent="0.25">
      <c r="A290" s="14">
        <f>'Manager''s Page'!H290</f>
        <v>288</v>
      </c>
      <c r="B290" s="15">
        <f t="shared" si="39"/>
        <v>4410</v>
      </c>
      <c r="C290" s="16">
        <f>'Manager''s Page'!I290</f>
        <v>474</v>
      </c>
      <c r="D290" s="16">
        <f t="shared" si="32"/>
        <v>474</v>
      </c>
      <c r="E290" s="16">
        <f t="shared" si="33"/>
        <v>0</v>
      </c>
      <c r="F290" s="16">
        <f t="shared" si="34"/>
        <v>3936</v>
      </c>
      <c r="G290" s="17">
        <f>F290*(Constant!$B$11/365)</f>
        <v>288.99945205479457</v>
      </c>
      <c r="H290" s="16">
        <f>IF(F290&lt;'Manager''s Page'!$B$11,'Manager''s Page'!$B$14,0)</f>
        <v>0</v>
      </c>
      <c r="I290" s="17" cm="1">
        <f t="array" ref="I290">_xlfn.IFS(H290&lt;Constant!$A$3,0,H290&lt;Constant!$A$4,375,H290&lt;Constant!$A$5,275,H290&lt;Constant!$A$6,175)</f>
        <v>0</v>
      </c>
      <c r="J290" s="16">
        <f t="shared" si="35"/>
        <v>474</v>
      </c>
      <c r="K290" s="16">
        <f t="shared" si="36"/>
        <v>3936</v>
      </c>
      <c r="L290" s="14">
        <f t="shared" si="37"/>
        <v>474</v>
      </c>
      <c r="M290" s="44">
        <f t="shared" si="38"/>
        <v>3936</v>
      </c>
    </row>
    <row r="291" spans="1:13" x14ac:dyDescent="0.25">
      <c r="A291" s="14">
        <f>'Manager''s Page'!H291</f>
        <v>289</v>
      </c>
      <c r="B291" s="15">
        <f t="shared" si="39"/>
        <v>3936</v>
      </c>
      <c r="C291" s="16">
        <f>'Manager''s Page'!I291</f>
        <v>774</v>
      </c>
      <c r="D291" s="16">
        <f t="shared" si="32"/>
        <v>774</v>
      </c>
      <c r="E291" s="16">
        <f t="shared" si="33"/>
        <v>0</v>
      </c>
      <c r="F291" s="16">
        <f t="shared" si="34"/>
        <v>3162</v>
      </c>
      <c r="G291" s="17">
        <f>F291*(Constant!$B$11/365)</f>
        <v>232.16876712328769</v>
      </c>
      <c r="H291" s="16">
        <f>IF(F291&lt;'Manager''s Page'!$B$11,'Manager''s Page'!$B$14,0)</f>
        <v>0</v>
      </c>
      <c r="I291" s="17" cm="1">
        <f t="array" ref="I291">_xlfn.IFS(H291&lt;Constant!$A$3,0,H291&lt;Constant!$A$4,375,H291&lt;Constant!$A$5,275,H291&lt;Constant!$A$6,175)</f>
        <v>0</v>
      </c>
      <c r="J291" s="16">
        <f t="shared" si="35"/>
        <v>774</v>
      </c>
      <c r="K291" s="16">
        <f t="shared" si="36"/>
        <v>3162</v>
      </c>
      <c r="L291" s="14">
        <f t="shared" si="37"/>
        <v>774</v>
      </c>
      <c r="M291" s="44">
        <f t="shared" si="38"/>
        <v>3162</v>
      </c>
    </row>
    <row r="292" spans="1:13" x14ac:dyDescent="0.25">
      <c r="A292" s="14">
        <f>'Manager''s Page'!H292</f>
        <v>290</v>
      </c>
      <c r="B292" s="15">
        <f t="shared" si="39"/>
        <v>3162</v>
      </c>
      <c r="C292" s="16">
        <f>'Manager''s Page'!I292</f>
        <v>458</v>
      </c>
      <c r="D292" s="16">
        <f t="shared" si="32"/>
        <v>458</v>
      </c>
      <c r="E292" s="16">
        <f t="shared" si="33"/>
        <v>0</v>
      </c>
      <c r="F292" s="16">
        <f t="shared" si="34"/>
        <v>2704</v>
      </c>
      <c r="G292" s="17">
        <f>F292*(Constant!$B$11/365)</f>
        <v>198.54027397260276</v>
      </c>
      <c r="H292" s="16">
        <f>IF(F292&lt;'Manager''s Page'!$B$11,'Manager''s Page'!$B$14,0)</f>
        <v>0</v>
      </c>
      <c r="I292" s="17" cm="1">
        <f t="array" ref="I292">_xlfn.IFS(H292&lt;Constant!$A$3,0,H292&lt;Constant!$A$4,375,H292&lt;Constant!$A$5,275,H292&lt;Constant!$A$6,175)</f>
        <v>0</v>
      </c>
      <c r="J292" s="16">
        <f t="shared" si="35"/>
        <v>458</v>
      </c>
      <c r="K292" s="16">
        <f t="shared" si="36"/>
        <v>2704</v>
      </c>
      <c r="L292" s="14">
        <f t="shared" si="37"/>
        <v>458</v>
      </c>
      <c r="M292" s="44">
        <f t="shared" si="38"/>
        <v>2704</v>
      </c>
    </row>
    <row r="293" spans="1:13" x14ac:dyDescent="0.25">
      <c r="A293" s="14">
        <f>'Manager''s Page'!H293</f>
        <v>291</v>
      </c>
      <c r="B293" s="15">
        <f t="shared" si="39"/>
        <v>2704</v>
      </c>
      <c r="C293" s="16">
        <f>'Manager''s Page'!I293</f>
        <v>617</v>
      </c>
      <c r="D293" s="16">
        <f t="shared" si="32"/>
        <v>617</v>
      </c>
      <c r="E293" s="16">
        <f t="shared" si="33"/>
        <v>0</v>
      </c>
      <c r="F293" s="16">
        <f t="shared" si="34"/>
        <v>2087</v>
      </c>
      <c r="G293" s="17">
        <f>F293*(Constant!$B$11/365)</f>
        <v>153.23726027397262</v>
      </c>
      <c r="H293" s="16">
        <f>IF(F293&lt;'Manager''s Page'!$B$11,'Manager''s Page'!$B$14,0)</f>
        <v>0</v>
      </c>
      <c r="I293" s="17" cm="1">
        <f t="array" ref="I293">_xlfn.IFS(H293&lt;Constant!$A$3,0,H293&lt;Constant!$A$4,375,H293&lt;Constant!$A$5,275,H293&lt;Constant!$A$6,175)</f>
        <v>0</v>
      </c>
      <c r="J293" s="16">
        <f t="shared" si="35"/>
        <v>617</v>
      </c>
      <c r="K293" s="16">
        <f t="shared" si="36"/>
        <v>2087</v>
      </c>
      <c r="L293" s="14">
        <f t="shared" si="37"/>
        <v>617</v>
      </c>
      <c r="M293" s="44">
        <f t="shared" si="38"/>
        <v>2087</v>
      </c>
    </row>
    <row r="294" spans="1:13" x14ac:dyDescent="0.25">
      <c r="A294" s="14">
        <f>'Manager''s Page'!H294</f>
        <v>292</v>
      </c>
      <c r="B294" s="15">
        <f t="shared" si="39"/>
        <v>2087</v>
      </c>
      <c r="C294" s="16">
        <f>'Manager''s Page'!I294</f>
        <v>478</v>
      </c>
      <c r="D294" s="16">
        <f t="shared" si="32"/>
        <v>478</v>
      </c>
      <c r="E294" s="16">
        <f t="shared" si="33"/>
        <v>0</v>
      </c>
      <c r="F294" s="16">
        <f t="shared" si="34"/>
        <v>1609</v>
      </c>
      <c r="G294" s="17">
        <f>F294*(Constant!$B$11/365)</f>
        <v>118.14027397260276</v>
      </c>
      <c r="H294" s="16">
        <f>IF(F294&lt;'Manager''s Page'!$B$11,'Manager''s Page'!$B$14,0)</f>
        <v>0</v>
      </c>
      <c r="I294" s="17" cm="1">
        <f t="array" ref="I294">_xlfn.IFS(H294&lt;Constant!$A$3,0,H294&lt;Constant!$A$4,375,H294&lt;Constant!$A$5,275,H294&lt;Constant!$A$6,175)</f>
        <v>0</v>
      </c>
      <c r="J294" s="16">
        <f t="shared" si="35"/>
        <v>478</v>
      </c>
      <c r="K294" s="16">
        <f t="shared" si="36"/>
        <v>1609</v>
      </c>
      <c r="L294" s="14">
        <f t="shared" si="37"/>
        <v>478</v>
      </c>
      <c r="M294" s="44">
        <f t="shared" si="38"/>
        <v>1609</v>
      </c>
    </row>
    <row r="295" spans="1:13" x14ac:dyDescent="0.25">
      <c r="A295" s="14">
        <f>'Manager''s Page'!H295</f>
        <v>293</v>
      </c>
      <c r="B295" s="15">
        <f t="shared" si="39"/>
        <v>1609</v>
      </c>
      <c r="C295" s="16">
        <f>'Manager''s Page'!I295</f>
        <v>356</v>
      </c>
      <c r="D295" s="16">
        <f t="shared" si="32"/>
        <v>356</v>
      </c>
      <c r="E295" s="16">
        <f t="shared" si="33"/>
        <v>0</v>
      </c>
      <c r="F295" s="16">
        <f t="shared" si="34"/>
        <v>1253</v>
      </c>
      <c r="G295" s="17">
        <f>F295*(Constant!$B$11/365)</f>
        <v>92.001095890410966</v>
      </c>
      <c r="H295" s="16">
        <f>IF(F295&lt;'Manager''s Page'!$B$11,'Manager''s Page'!$B$14,0)</f>
        <v>0</v>
      </c>
      <c r="I295" s="17" cm="1">
        <f t="array" ref="I295">_xlfn.IFS(H295&lt;Constant!$A$3,0,H295&lt;Constant!$A$4,375,H295&lt;Constant!$A$5,275,H295&lt;Constant!$A$6,175)</f>
        <v>0</v>
      </c>
      <c r="J295" s="16">
        <f t="shared" si="35"/>
        <v>356</v>
      </c>
      <c r="K295" s="16">
        <f t="shared" si="36"/>
        <v>1253</v>
      </c>
      <c r="L295" s="14">
        <f t="shared" si="37"/>
        <v>356</v>
      </c>
      <c r="M295" s="44">
        <f t="shared" si="38"/>
        <v>1253</v>
      </c>
    </row>
    <row r="296" spans="1:13" x14ac:dyDescent="0.25">
      <c r="A296" s="14">
        <f>'Manager''s Page'!H296</f>
        <v>294</v>
      </c>
      <c r="B296" s="15">
        <f t="shared" si="39"/>
        <v>1253</v>
      </c>
      <c r="C296" s="16">
        <f>'Manager''s Page'!I296</f>
        <v>537</v>
      </c>
      <c r="D296" s="16">
        <f t="shared" si="32"/>
        <v>537</v>
      </c>
      <c r="E296" s="16">
        <f t="shared" si="33"/>
        <v>0</v>
      </c>
      <c r="F296" s="16">
        <f t="shared" si="34"/>
        <v>716</v>
      </c>
      <c r="G296" s="17">
        <f>F296*(Constant!$B$11/365)</f>
        <v>52.572054794520554</v>
      </c>
      <c r="H296" s="16">
        <f>IF(F296&lt;'Manager''s Page'!$B$11,'Manager''s Page'!$B$14,0)</f>
        <v>0</v>
      </c>
      <c r="I296" s="17" cm="1">
        <f t="array" ref="I296">_xlfn.IFS(H296&lt;Constant!$A$3,0,H296&lt;Constant!$A$4,375,H296&lt;Constant!$A$5,275,H296&lt;Constant!$A$6,175)</f>
        <v>0</v>
      </c>
      <c r="J296" s="16">
        <f t="shared" si="35"/>
        <v>537</v>
      </c>
      <c r="K296" s="16">
        <f t="shared" si="36"/>
        <v>716</v>
      </c>
      <c r="L296" s="14">
        <f t="shared" si="37"/>
        <v>537</v>
      </c>
      <c r="M296" s="44">
        <f t="shared" si="38"/>
        <v>716</v>
      </c>
    </row>
    <row r="297" spans="1:13" x14ac:dyDescent="0.25">
      <c r="A297" s="14">
        <f>'Manager''s Page'!H297</f>
        <v>295</v>
      </c>
      <c r="B297" s="15">
        <f t="shared" si="39"/>
        <v>716</v>
      </c>
      <c r="C297" s="16">
        <f>'Manager''s Page'!I297</f>
        <v>764</v>
      </c>
      <c r="D297" s="16">
        <f t="shared" si="32"/>
        <v>716</v>
      </c>
      <c r="E297" s="16">
        <f t="shared" si="33"/>
        <v>48</v>
      </c>
      <c r="F297" s="16">
        <f t="shared" si="34"/>
        <v>0</v>
      </c>
      <c r="G297" s="17">
        <f>F297*(Constant!$B$11/365)</f>
        <v>0</v>
      </c>
      <c r="H297" s="16">
        <f>IF(F297&lt;'Manager''s Page'!$B$11,'Manager''s Page'!$B$14,0)</f>
        <v>5000</v>
      </c>
      <c r="I297" s="17" cm="1">
        <f t="array" ref="I297">_xlfn.IFS(H297&lt;Constant!$A$3,0,H297&lt;Constant!$A$4,375,H297&lt;Constant!$A$5,275,H297&lt;Constant!$A$6,175)</f>
        <v>275</v>
      </c>
      <c r="J297" s="16">
        <f t="shared" si="35"/>
        <v>764</v>
      </c>
      <c r="K297" s="16">
        <f t="shared" si="36"/>
        <v>0</v>
      </c>
      <c r="L297" s="14">
        <f t="shared" si="37"/>
        <v>764</v>
      </c>
      <c r="M297" s="44">
        <f t="shared" si="38"/>
        <v>0</v>
      </c>
    </row>
    <row r="298" spans="1:13" x14ac:dyDescent="0.25">
      <c r="A298" s="14">
        <f>'Manager''s Page'!H298</f>
        <v>296</v>
      </c>
      <c r="B298" s="15">
        <f t="shared" si="39"/>
        <v>5000</v>
      </c>
      <c r="C298" s="16">
        <f>'Manager''s Page'!I298</f>
        <v>237</v>
      </c>
      <c r="D298" s="16">
        <f t="shared" si="32"/>
        <v>237</v>
      </c>
      <c r="E298" s="16">
        <f t="shared" si="33"/>
        <v>0</v>
      </c>
      <c r="F298" s="16">
        <f t="shared" si="34"/>
        <v>4763</v>
      </c>
      <c r="G298" s="17">
        <f>F298*(Constant!$B$11/365)</f>
        <v>349.72164383561648</v>
      </c>
      <c r="H298" s="16">
        <f>IF(F298&lt;'Manager''s Page'!$B$11,'Manager''s Page'!$B$14,0)</f>
        <v>0</v>
      </c>
      <c r="I298" s="17" cm="1">
        <f t="array" ref="I298">_xlfn.IFS(H298&lt;Constant!$A$3,0,H298&lt;Constant!$A$4,375,H298&lt;Constant!$A$5,275,H298&lt;Constant!$A$6,175)</f>
        <v>0</v>
      </c>
      <c r="J298" s="16">
        <f t="shared" si="35"/>
        <v>237</v>
      </c>
      <c r="K298" s="16">
        <f t="shared" si="36"/>
        <v>4763</v>
      </c>
      <c r="L298" s="14">
        <f t="shared" si="37"/>
        <v>237</v>
      </c>
      <c r="M298" s="44">
        <f t="shared" si="38"/>
        <v>4763</v>
      </c>
    </row>
    <row r="299" spans="1:13" x14ac:dyDescent="0.25">
      <c r="A299" s="14">
        <f>'Manager''s Page'!H299</f>
        <v>297</v>
      </c>
      <c r="B299" s="15">
        <f t="shared" si="39"/>
        <v>4763</v>
      </c>
      <c r="C299" s="16">
        <f>'Manager''s Page'!I299</f>
        <v>574</v>
      </c>
      <c r="D299" s="16">
        <f t="shared" si="32"/>
        <v>574</v>
      </c>
      <c r="E299" s="16">
        <f t="shared" si="33"/>
        <v>0</v>
      </c>
      <c r="F299" s="16">
        <f t="shared" si="34"/>
        <v>4189</v>
      </c>
      <c r="G299" s="17">
        <f>F299*(Constant!$B$11/365)</f>
        <v>307.57589041095895</v>
      </c>
      <c r="H299" s="16">
        <f>IF(F299&lt;'Manager''s Page'!$B$11,'Manager''s Page'!$B$14,0)</f>
        <v>0</v>
      </c>
      <c r="I299" s="17" cm="1">
        <f t="array" ref="I299">_xlfn.IFS(H299&lt;Constant!$A$3,0,H299&lt;Constant!$A$4,375,H299&lt;Constant!$A$5,275,H299&lt;Constant!$A$6,175)</f>
        <v>0</v>
      </c>
      <c r="J299" s="16">
        <f t="shared" si="35"/>
        <v>574</v>
      </c>
      <c r="K299" s="16">
        <f t="shared" si="36"/>
        <v>4189</v>
      </c>
      <c r="L299" s="14">
        <f t="shared" si="37"/>
        <v>574</v>
      </c>
      <c r="M299" s="44">
        <f t="shared" si="38"/>
        <v>4189</v>
      </c>
    </row>
    <row r="300" spans="1:13" x14ac:dyDescent="0.25">
      <c r="A300" s="14">
        <f>'Manager''s Page'!H300</f>
        <v>298</v>
      </c>
      <c r="B300" s="15">
        <f t="shared" si="39"/>
        <v>4189</v>
      </c>
      <c r="C300" s="16">
        <f>'Manager''s Page'!I300</f>
        <v>378</v>
      </c>
      <c r="D300" s="16">
        <f t="shared" si="32"/>
        <v>378</v>
      </c>
      <c r="E300" s="16">
        <f t="shared" si="33"/>
        <v>0</v>
      </c>
      <c r="F300" s="16">
        <f t="shared" si="34"/>
        <v>3811</v>
      </c>
      <c r="G300" s="17">
        <f>F300*(Constant!$B$11/365)</f>
        <v>279.82136986301373</v>
      </c>
      <c r="H300" s="16">
        <f>IF(F300&lt;'Manager''s Page'!$B$11,'Manager''s Page'!$B$14,0)</f>
        <v>0</v>
      </c>
      <c r="I300" s="17" cm="1">
        <f t="array" ref="I300">_xlfn.IFS(H300&lt;Constant!$A$3,0,H300&lt;Constant!$A$4,375,H300&lt;Constant!$A$5,275,H300&lt;Constant!$A$6,175)</f>
        <v>0</v>
      </c>
      <c r="J300" s="16">
        <f t="shared" si="35"/>
        <v>378</v>
      </c>
      <c r="K300" s="16">
        <f t="shared" si="36"/>
        <v>3811</v>
      </c>
      <c r="L300" s="14">
        <f t="shared" si="37"/>
        <v>378</v>
      </c>
      <c r="M300" s="44">
        <f t="shared" si="38"/>
        <v>3811</v>
      </c>
    </row>
    <row r="301" spans="1:13" x14ac:dyDescent="0.25">
      <c r="A301" s="14">
        <f>'Manager''s Page'!H301</f>
        <v>299</v>
      </c>
      <c r="B301" s="15">
        <f t="shared" si="39"/>
        <v>3811</v>
      </c>
      <c r="C301" s="16">
        <f>'Manager''s Page'!I301</f>
        <v>616</v>
      </c>
      <c r="D301" s="16">
        <f t="shared" si="32"/>
        <v>616</v>
      </c>
      <c r="E301" s="16">
        <f t="shared" si="33"/>
        <v>0</v>
      </c>
      <c r="F301" s="16">
        <f t="shared" si="34"/>
        <v>3195</v>
      </c>
      <c r="G301" s="17">
        <f>F301*(Constant!$B$11/365)</f>
        <v>234.59178082191784</v>
      </c>
      <c r="H301" s="16">
        <f>IF(F301&lt;'Manager''s Page'!$B$11,'Manager''s Page'!$B$14,0)</f>
        <v>0</v>
      </c>
      <c r="I301" s="17" cm="1">
        <f t="array" ref="I301">_xlfn.IFS(H301&lt;Constant!$A$3,0,H301&lt;Constant!$A$4,375,H301&lt;Constant!$A$5,275,H301&lt;Constant!$A$6,175)</f>
        <v>0</v>
      </c>
      <c r="J301" s="16">
        <f t="shared" si="35"/>
        <v>616</v>
      </c>
      <c r="K301" s="16">
        <f t="shared" si="36"/>
        <v>3195</v>
      </c>
      <c r="L301" s="14">
        <f t="shared" si="37"/>
        <v>616</v>
      </c>
      <c r="M301" s="44">
        <f t="shared" si="38"/>
        <v>3195</v>
      </c>
    </row>
    <row r="302" spans="1:13" x14ac:dyDescent="0.25">
      <c r="A302" s="14">
        <f>'Manager''s Page'!H302</f>
        <v>300</v>
      </c>
      <c r="B302" s="15">
        <f t="shared" si="39"/>
        <v>3195</v>
      </c>
      <c r="C302" s="16">
        <f>'Manager''s Page'!I302</f>
        <v>560</v>
      </c>
      <c r="D302" s="16">
        <f t="shared" si="32"/>
        <v>560</v>
      </c>
      <c r="E302" s="16">
        <f t="shared" si="33"/>
        <v>0</v>
      </c>
      <c r="F302" s="16">
        <f t="shared" si="34"/>
        <v>2635</v>
      </c>
      <c r="G302" s="17">
        <f>F302*(Constant!$B$11/365)</f>
        <v>193.47397260273974</v>
      </c>
      <c r="H302" s="16">
        <f>IF(F302&lt;'Manager''s Page'!$B$11,'Manager''s Page'!$B$14,0)</f>
        <v>0</v>
      </c>
      <c r="I302" s="17" cm="1">
        <f t="array" ref="I302">_xlfn.IFS(H302&lt;Constant!$A$3,0,H302&lt;Constant!$A$4,375,H302&lt;Constant!$A$5,275,H302&lt;Constant!$A$6,175)</f>
        <v>0</v>
      </c>
      <c r="J302" s="16">
        <f t="shared" si="35"/>
        <v>560</v>
      </c>
      <c r="K302" s="16">
        <f t="shared" si="36"/>
        <v>2635</v>
      </c>
      <c r="L302" s="14">
        <f t="shared" si="37"/>
        <v>560</v>
      </c>
      <c r="M302" s="44">
        <f t="shared" si="38"/>
        <v>2635</v>
      </c>
    </row>
    <row r="303" spans="1:13" x14ac:dyDescent="0.25">
      <c r="A303" s="14">
        <f>'Manager''s Page'!H303</f>
        <v>301</v>
      </c>
      <c r="B303" s="15">
        <f t="shared" si="39"/>
        <v>2635</v>
      </c>
      <c r="C303" s="16">
        <f>'Manager''s Page'!I303</f>
        <v>360</v>
      </c>
      <c r="D303" s="16">
        <f t="shared" si="32"/>
        <v>360</v>
      </c>
      <c r="E303" s="16">
        <f t="shared" si="33"/>
        <v>0</v>
      </c>
      <c r="F303" s="16">
        <f t="shared" si="34"/>
        <v>2275</v>
      </c>
      <c r="G303" s="17">
        <f>F303*(Constant!$B$11/365)</f>
        <v>167.04109589041099</v>
      </c>
      <c r="H303" s="16">
        <f>IF(F303&lt;'Manager''s Page'!$B$11,'Manager''s Page'!$B$14,0)</f>
        <v>0</v>
      </c>
      <c r="I303" s="17" cm="1">
        <f t="array" ref="I303">_xlfn.IFS(H303&lt;Constant!$A$3,0,H303&lt;Constant!$A$4,375,H303&lt;Constant!$A$5,275,H303&lt;Constant!$A$6,175)</f>
        <v>0</v>
      </c>
      <c r="J303" s="16">
        <f t="shared" si="35"/>
        <v>360</v>
      </c>
      <c r="K303" s="16">
        <f t="shared" si="36"/>
        <v>2275</v>
      </c>
      <c r="L303" s="14">
        <f t="shared" si="37"/>
        <v>360</v>
      </c>
      <c r="M303" s="44">
        <f t="shared" si="38"/>
        <v>2275</v>
      </c>
    </row>
    <row r="304" spans="1:13" x14ac:dyDescent="0.25">
      <c r="A304" s="14">
        <f>'Manager''s Page'!H304</f>
        <v>302</v>
      </c>
      <c r="B304" s="15">
        <f t="shared" si="39"/>
        <v>2275</v>
      </c>
      <c r="C304" s="16">
        <f>'Manager''s Page'!I304</f>
        <v>857</v>
      </c>
      <c r="D304" s="16">
        <f t="shared" si="32"/>
        <v>857</v>
      </c>
      <c r="E304" s="16">
        <f t="shared" si="33"/>
        <v>0</v>
      </c>
      <c r="F304" s="16">
        <f t="shared" si="34"/>
        <v>1418</v>
      </c>
      <c r="G304" s="17">
        <f>F304*(Constant!$B$11/365)</f>
        <v>104.11616438356165</v>
      </c>
      <c r="H304" s="16">
        <f>IF(F304&lt;'Manager''s Page'!$B$11,'Manager''s Page'!$B$14,0)</f>
        <v>0</v>
      </c>
      <c r="I304" s="17" cm="1">
        <f t="array" ref="I304">_xlfn.IFS(H304&lt;Constant!$A$3,0,H304&lt;Constant!$A$4,375,H304&lt;Constant!$A$5,275,H304&lt;Constant!$A$6,175)</f>
        <v>0</v>
      </c>
      <c r="J304" s="16">
        <f t="shared" si="35"/>
        <v>857</v>
      </c>
      <c r="K304" s="16">
        <f t="shared" si="36"/>
        <v>1418</v>
      </c>
      <c r="L304" s="14">
        <f t="shared" si="37"/>
        <v>857</v>
      </c>
      <c r="M304" s="44">
        <f t="shared" si="38"/>
        <v>1418</v>
      </c>
    </row>
    <row r="305" spans="1:13" x14ac:dyDescent="0.25">
      <c r="A305" s="14">
        <f>'Manager''s Page'!H305</f>
        <v>303</v>
      </c>
      <c r="B305" s="15">
        <f t="shared" si="39"/>
        <v>1418</v>
      </c>
      <c r="C305" s="16">
        <f>'Manager''s Page'!I305</f>
        <v>394</v>
      </c>
      <c r="D305" s="16">
        <f t="shared" si="32"/>
        <v>394</v>
      </c>
      <c r="E305" s="16">
        <f t="shared" si="33"/>
        <v>0</v>
      </c>
      <c r="F305" s="16">
        <f t="shared" si="34"/>
        <v>1024</v>
      </c>
      <c r="G305" s="17">
        <f>F305*(Constant!$B$11/365)</f>
        <v>75.1868493150685</v>
      </c>
      <c r="H305" s="16">
        <f>IF(F305&lt;'Manager''s Page'!$B$11,'Manager''s Page'!$B$14,0)</f>
        <v>0</v>
      </c>
      <c r="I305" s="17" cm="1">
        <f t="array" ref="I305">_xlfn.IFS(H305&lt;Constant!$A$3,0,H305&lt;Constant!$A$4,375,H305&lt;Constant!$A$5,275,H305&lt;Constant!$A$6,175)</f>
        <v>0</v>
      </c>
      <c r="J305" s="16">
        <f t="shared" si="35"/>
        <v>394</v>
      </c>
      <c r="K305" s="16">
        <f t="shared" si="36"/>
        <v>1024</v>
      </c>
      <c r="L305" s="14">
        <f t="shared" si="37"/>
        <v>394</v>
      </c>
      <c r="M305" s="44">
        <f t="shared" si="38"/>
        <v>1024</v>
      </c>
    </row>
    <row r="306" spans="1:13" x14ac:dyDescent="0.25">
      <c r="A306" s="14">
        <f>'Manager''s Page'!H306</f>
        <v>304</v>
      </c>
      <c r="B306" s="15">
        <f t="shared" si="39"/>
        <v>1024</v>
      </c>
      <c r="C306" s="16">
        <f>'Manager''s Page'!I306</f>
        <v>890</v>
      </c>
      <c r="D306" s="16">
        <f t="shared" si="32"/>
        <v>890</v>
      </c>
      <c r="E306" s="16">
        <f t="shared" si="33"/>
        <v>0</v>
      </c>
      <c r="F306" s="16">
        <f t="shared" si="34"/>
        <v>134</v>
      </c>
      <c r="G306" s="17">
        <f>F306*(Constant!$B$11/365)</f>
        <v>9.8389041095890413</v>
      </c>
      <c r="H306" s="16">
        <f>IF(F306&lt;'Manager''s Page'!$B$11,'Manager''s Page'!$B$14,0)</f>
        <v>5000</v>
      </c>
      <c r="I306" s="17" cm="1">
        <f t="array" ref="I306">_xlfn.IFS(H306&lt;Constant!$A$3,0,H306&lt;Constant!$A$4,375,H306&lt;Constant!$A$5,275,H306&lt;Constant!$A$6,175)</f>
        <v>275</v>
      </c>
      <c r="J306" s="16">
        <f t="shared" si="35"/>
        <v>890</v>
      </c>
      <c r="K306" s="16">
        <f t="shared" si="36"/>
        <v>134</v>
      </c>
      <c r="L306" s="14">
        <f t="shared" si="37"/>
        <v>890</v>
      </c>
      <c r="M306" s="44">
        <f t="shared" si="38"/>
        <v>134</v>
      </c>
    </row>
    <row r="307" spans="1:13" x14ac:dyDescent="0.25">
      <c r="A307" s="14">
        <f>'Manager''s Page'!H307</f>
        <v>305</v>
      </c>
      <c r="B307" s="15">
        <f t="shared" si="39"/>
        <v>5134</v>
      </c>
      <c r="C307" s="16">
        <f>'Manager''s Page'!I307</f>
        <v>443</v>
      </c>
      <c r="D307" s="16">
        <f t="shared" si="32"/>
        <v>443</v>
      </c>
      <c r="E307" s="16">
        <f t="shared" si="33"/>
        <v>0</v>
      </c>
      <c r="F307" s="16">
        <f t="shared" si="34"/>
        <v>4691</v>
      </c>
      <c r="G307" s="17">
        <f>F307*(Constant!$B$11/365)</f>
        <v>344.43506849315071</v>
      </c>
      <c r="H307" s="16">
        <f>IF(F307&lt;'Manager''s Page'!$B$11,'Manager''s Page'!$B$14,0)</f>
        <v>0</v>
      </c>
      <c r="I307" s="17" cm="1">
        <f t="array" ref="I307">_xlfn.IFS(H307&lt;Constant!$A$3,0,H307&lt;Constant!$A$4,375,H307&lt;Constant!$A$5,275,H307&lt;Constant!$A$6,175)</f>
        <v>0</v>
      </c>
      <c r="J307" s="16">
        <f t="shared" si="35"/>
        <v>443</v>
      </c>
      <c r="K307" s="16">
        <f t="shared" si="36"/>
        <v>4691</v>
      </c>
      <c r="L307" s="14">
        <f t="shared" si="37"/>
        <v>443</v>
      </c>
      <c r="M307" s="44">
        <f t="shared" si="38"/>
        <v>4691</v>
      </c>
    </row>
    <row r="308" spans="1:13" x14ac:dyDescent="0.25">
      <c r="A308" s="14">
        <f>'Manager''s Page'!H308</f>
        <v>306</v>
      </c>
      <c r="B308" s="15">
        <f t="shared" si="39"/>
        <v>4691</v>
      </c>
      <c r="C308" s="16">
        <f>'Manager''s Page'!I308</f>
        <v>239</v>
      </c>
      <c r="D308" s="16">
        <f t="shared" si="32"/>
        <v>239</v>
      </c>
      <c r="E308" s="16">
        <f t="shared" si="33"/>
        <v>0</v>
      </c>
      <c r="F308" s="16">
        <f t="shared" si="34"/>
        <v>4452</v>
      </c>
      <c r="G308" s="17">
        <f>F308*(Constant!$B$11/365)</f>
        <v>326.88657534246579</v>
      </c>
      <c r="H308" s="16">
        <f>IF(F308&lt;'Manager''s Page'!$B$11,'Manager''s Page'!$B$14,0)</f>
        <v>0</v>
      </c>
      <c r="I308" s="17" cm="1">
        <f t="array" ref="I308">_xlfn.IFS(H308&lt;Constant!$A$3,0,H308&lt;Constant!$A$4,375,H308&lt;Constant!$A$5,275,H308&lt;Constant!$A$6,175)</f>
        <v>0</v>
      </c>
      <c r="J308" s="16">
        <f t="shared" si="35"/>
        <v>239</v>
      </c>
      <c r="K308" s="16">
        <f t="shared" si="36"/>
        <v>4452</v>
      </c>
      <c r="L308" s="14">
        <f t="shared" si="37"/>
        <v>239</v>
      </c>
      <c r="M308" s="44">
        <f t="shared" si="38"/>
        <v>4452</v>
      </c>
    </row>
    <row r="309" spans="1:13" x14ac:dyDescent="0.25">
      <c r="A309" s="14">
        <f>'Manager''s Page'!H309</f>
        <v>307</v>
      </c>
      <c r="B309" s="15">
        <f t="shared" si="39"/>
        <v>4452</v>
      </c>
      <c r="C309" s="16">
        <f>'Manager''s Page'!I309</f>
        <v>632</v>
      </c>
      <c r="D309" s="16">
        <f t="shared" si="32"/>
        <v>632</v>
      </c>
      <c r="E309" s="16">
        <f t="shared" si="33"/>
        <v>0</v>
      </c>
      <c r="F309" s="16">
        <f t="shared" si="34"/>
        <v>3820</v>
      </c>
      <c r="G309" s="17">
        <f>F309*(Constant!$B$11/365)</f>
        <v>280.48219178082195</v>
      </c>
      <c r="H309" s="16">
        <f>IF(F309&lt;'Manager''s Page'!$B$11,'Manager''s Page'!$B$14,0)</f>
        <v>0</v>
      </c>
      <c r="I309" s="17" cm="1">
        <f t="array" ref="I309">_xlfn.IFS(H309&lt;Constant!$A$3,0,H309&lt;Constant!$A$4,375,H309&lt;Constant!$A$5,275,H309&lt;Constant!$A$6,175)</f>
        <v>0</v>
      </c>
      <c r="J309" s="16">
        <f t="shared" si="35"/>
        <v>632</v>
      </c>
      <c r="K309" s="16">
        <f t="shared" si="36"/>
        <v>3820</v>
      </c>
      <c r="L309" s="14">
        <f t="shared" si="37"/>
        <v>632</v>
      </c>
      <c r="M309" s="44">
        <f t="shared" si="38"/>
        <v>3820</v>
      </c>
    </row>
    <row r="310" spans="1:13" x14ac:dyDescent="0.25">
      <c r="A310" s="14">
        <f>'Manager''s Page'!H310</f>
        <v>308</v>
      </c>
      <c r="B310" s="15">
        <f t="shared" si="39"/>
        <v>3820</v>
      </c>
      <c r="C310" s="16">
        <f>'Manager''s Page'!I310</f>
        <v>422</v>
      </c>
      <c r="D310" s="16">
        <f t="shared" si="32"/>
        <v>422</v>
      </c>
      <c r="E310" s="16">
        <f t="shared" si="33"/>
        <v>0</v>
      </c>
      <c r="F310" s="16">
        <f t="shared" si="34"/>
        <v>3398</v>
      </c>
      <c r="G310" s="17">
        <f>F310*(Constant!$B$11/365)</f>
        <v>249.49698630136987</v>
      </c>
      <c r="H310" s="16">
        <f>IF(F310&lt;'Manager''s Page'!$B$11,'Manager''s Page'!$B$14,0)</f>
        <v>0</v>
      </c>
      <c r="I310" s="17" cm="1">
        <f t="array" ref="I310">_xlfn.IFS(H310&lt;Constant!$A$3,0,H310&lt;Constant!$A$4,375,H310&lt;Constant!$A$5,275,H310&lt;Constant!$A$6,175)</f>
        <v>0</v>
      </c>
      <c r="J310" s="16">
        <f t="shared" si="35"/>
        <v>422</v>
      </c>
      <c r="K310" s="16">
        <f t="shared" si="36"/>
        <v>3398</v>
      </c>
      <c r="L310" s="14">
        <f t="shared" si="37"/>
        <v>422</v>
      </c>
      <c r="M310" s="44">
        <f t="shared" si="38"/>
        <v>3398</v>
      </c>
    </row>
    <row r="311" spans="1:13" x14ac:dyDescent="0.25">
      <c r="A311" s="14">
        <f>'Manager''s Page'!H311</f>
        <v>309</v>
      </c>
      <c r="B311" s="15">
        <f t="shared" si="39"/>
        <v>3398</v>
      </c>
      <c r="C311" s="16">
        <f>'Manager''s Page'!I311</f>
        <v>547</v>
      </c>
      <c r="D311" s="16">
        <f t="shared" si="32"/>
        <v>547</v>
      </c>
      <c r="E311" s="16">
        <f t="shared" si="33"/>
        <v>0</v>
      </c>
      <c r="F311" s="16">
        <f t="shared" si="34"/>
        <v>2851</v>
      </c>
      <c r="G311" s="17">
        <f>F311*(Constant!$B$11/365)</f>
        <v>209.33369863013701</v>
      </c>
      <c r="H311" s="16">
        <f>IF(F311&lt;'Manager''s Page'!$B$11,'Manager''s Page'!$B$14,0)</f>
        <v>0</v>
      </c>
      <c r="I311" s="17" cm="1">
        <f t="array" ref="I311">_xlfn.IFS(H311&lt;Constant!$A$3,0,H311&lt;Constant!$A$4,375,H311&lt;Constant!$A$5,275,H311&lt;Constant!$A$6,175)</f>
        <v>0</v>
      </c>
      <c r="J311" s="16">
        <f t="shared" si="35"/>
        <v>547</v>
      </c>
      <c r="K311" s="16">
        <f t="shared" si="36"/>
        <v>2851</v>
      </c>
      <c r="L311" s="14">
        <f t="shared" si="37"/>
        <v>547</v>
      </c>
      <c r="M311" s="44">
        <f t="shared" si="38"/>
        <v>2851</v>
      </c>
    </row>
    <row r="312" spans="1:13" x14ac:dyDescent="0.25">
      <c r="A312" s="14">
        <f>'Manager''s Page'!H312</f>
        <v>310</v>
      </c>
      <c r="B312" s="15">
        <f t="shared" si="39"/>
        <v>2851</v>
      </c>
      <c r="C312" s="16">
        <f>'Manager''s Page'!I312</f>
        <v>728</v>
      </c>
      <c r="D312" s="16">
        <f t="shared" si="32"/>
        <v>728</v>
      </c>
      <c r="E312" s="16">
        <f t="shared" si="33"/>
        <v>0</v>
      </c>
      <c r="F312" s="16">
        <f t="shared" si="34"/>
        <v>2123</v>
      </c>
      <c r="G312" s="17">
        <f>F312*(Constant!$B$11/365)</f>
        <v>155.88054794520551</v>
      </c>
      <c r="H312" s="16">
        <f>IF(F312&lt;'Manager''s Page'!$B$11,'Manager''s Page'!$B$14,0)</f>
        <v>0</v>
      </c>
      <c r="I312" s="17" cm="1">
        <f t="array" ref="I312">_xlfn.IFS(H312&lt;Constant!$A$3,0,H312&lt;Constant!$A$4,375,H312&lt;Constant!$A$5,275,H312&lt;Constant!$A$6,175)</f>
        <v>0</v>
      </c>
      <c r="J312" s="16">
        <f t="shared" si="35"/>
        <v>728</v>
      </c>
      <c r="K312" s="16">
        <f t="shared" si="36"/>
        <v>2123</v>
      </c>
      <c r="L312" s="14">
        <f t="shared" si="37"/>
        <v>728</v>
      </c>
      <c r="M312" s="44">
        <f t="shared" si="38"/>
        <v>2123</v>
      </c>
    </row>
    <row r="313" spans="1:13" x14ac:dyDescent="0.25">
      <c r="A313" s="14">
        <f>'Manager''s Page'!H313</f>
        <v>311</v>
      </c>
      <c r="B313" s="15">
        <f t="shared" si="39"/>
        <v>2123</v>
      </c>
      <c r="C313" s="16">
        <f>'Manager''s Page'!I313</f>
        <v>850</v>
      </c>
      <c r="D313" s="16">
        <f t="shared" si="32"/>
        <v>850</v>
      </c>
      <c r="E313" s="16">
        <f t="shared" si="33"/>
        <v>0</v>
      </c>
      <c r="F313" s="16">
        <f t="shared" si="34"/>
        <v>1273</v>
      </c>
      <c r="G313" s="17">
        <f>F313*(Constant!$B$11/365)</f>
        <v>93.469589041095901</v>
      </c>
      <c r="H313" s="16">
        <f>IF(F313&lt;'Manager''s Page'!$B$11,'Manager''s Page'!$B$14,0)</f>
        <v>0</v>
      </c>
      <c r="I313" s="17" cm="1">
        <f t="array" ref="I313">_xlfn.IFS(H313&lt;Constant!$A$3,0,H313&lt;Constant!$A$4,375,H313&lt;Constant!$A$5,275,H313&lt;Constant!$A$6,175)</f>
        <v>0</v>
      </c>
      <c r="J313" s="16">
        <f t="shared" si="35"/>
        <v>850</v>
      </c>
      <c r="K313" s="16">
        <f t="shared" si="36"/>
        <v>1273</v>
      </c>
      <c r="L313" s="14">
        <f t="shared" si="37"/>
        <v>850</v>
      </c>
      <c r="M313" s="44">
        <f t="shared" si="38"/>
        <v>1273</v>
      </c>
    </row>
    <row r="314" spans="1:13" x14ac:dyDescent="0.25">
      <c r="A314" s="14">
        <f>'Manager''s Page'!H314</f>
        <v>312</v>
      </c>
      <c r="B314" s="15">
        <f t="shared" si="39"/>
        <v>1273</v>
      </c>
      <c r="C314" s="16">
        <f>'Manager''s Page'!I314</f>
        <v>279</v>
      </c>
      <c r="D314" s="16">
        <f t="shared" si="32"/>
        <v>279</v>
      </c>
      <c r="E314" s="16">
        <f t="shared" si="33"/>
        <v>0</v>
      </c>
      <c r="F314" s="16">
        <f t="shared" si="34"/>
        <v>994</v>
      </c>
      <c r="G314" s="17">
        <f>F314*(Constant!$B$11/365)</f>
        <v>72.984109589041097</v>
      </c>
      <c r="H314" s="16">
        <f>IF(F314&lt;'Manager''s Page'!$B$11,'Manager''s Page'!$B$14,0)</f>
        <v>0</v>
      </c>
      <c r="I314" s="17" cm="1">
        <f t="array" ref="I314">_xlfn.IFS(H314&lt;Constant!$A$3,0,H314&lt;Constant!$A$4,375,H314&lt;Constant!$A$5,275,H314&lt;Constant!$A$6,175)</f>
        <v>0</v>
      </c>
      <c r="J314" s="16">
        <f t="shared" si="35"/>
        <v>279</v>
      </c>
      <c r="K314" s="16">
        <f t="shared" si="36"/>
        <v>994</v>
      </c>
      <c r="L314" s="14">
        <f t="shared" si="37"/>
        <v>279</v>
      </c>
      <c r="M314" s="44">
        <f t="shared" si="38"/>
        <v>994</v>
      </c>
    </row>
    <row r="315" spans="1:13" x14ac:dyDescent="0.25">
      <c r="A315" s="14">
        <f>'Manager''s Page'!H315</f>
        <v>313</v>
      </c>
      <c r="B315" s="15">
        <f t="shared" si="39"/>
        <v>994</v>
      </c>
      <c r="C315" s="16">
        <f>'Manager''s Page'!I315</f>
        <v>509</v>
      </c>
      <c r="D315" s="16">
        <f t="shared" si="32"/>
        <v>509</v>
      </c>
      <c r="E315" s="16">
        <f t="shared" si="33"/>
        <v>0</v>
      </c>
      <c r="F315" s="16">
        <f t="shared" si="34"/>
        <v>485</v>
      </c>
      <c r="G315" s="17">
        <f>F315*(Constant!$B$11/365)</f>
        <v>35.610958904109594</v>
      </c>
      <c r="H315" s="16">
        <f>IF(F315&lt;'Manager''s Page'!$B$11,'Manager''s Page'!$B$14,0)</f>
        <v>0</v>
      </c>
      <c r="I315" s="17" cm="1">
        <f t="array" ref="I315">_xlfn.IFS(H315&lt;Constant!$A$3,0,H315&lt;Constant!$A$4,375,H315&lt;Constant!$A$5,275,H315&lt;Constant!$A$6,175)</f>
        <v>0</v>
      </c>
      <c r="J315" s="16">
        <f t="shared" si="35"/>
        <v>509</v>
      </c>
      <c r="K315" s="16">
        <f t="shared" si="36"/>
        <v>485</v>
      </c>
      <c r="L315" s="14">
        <f t="shared" si="37"/>
        <v>509</v>
      </c>
      <c r="M315" s="44">
        <f t="shared" si="38"/>
        <v>485</v>
      </c>
    </row>
    <row r="316" spans="1:13" x14ac:dyDescent="0.25">
      <c r="A316" s="14">
        <f>'Manager''s Page'!H316</f>
        <v>314</v>
      </c>
      <c r="B316" s="15">
        <f t="shared" si="39"/>
        <v>485</v>
      </c>
      <c r="C316" s="16">
        <f>'Manager''s Page'!I316</f>
        <v>955</v>
      </c>
      <c r="D316" s="16">
        <f t="shared" si="32"/>
        <v>485</v>
      </c>
      <c r="E316" s="16">
        <f t="shared" si="33"/>
        <v>470</v>
      </c>
      <c r="F316" s="16">
        <f t="shared" si="34"/>
        <v>0</v>
      </c>
      <c r="G316" s="17">
        <f>F316*(Constant!$B$11/365)</f>
        <v>0</v>
      </c>
      <c r="H316" s="16">
        <f>IF(F316&lt;'Manager''s Page'!$B$11,'Manager''s Page'!$B$14,0)</f>
        <v>5000</v>
      </c>
      <c r="I316" s="17" cm="1">
        <f t="array" ref="I316">_xlfn.IFS(H316&lt;Constant!$A$3,0,H316&lt;Constant!$A$4,375,H316&lt;Constant!$A$5,275,H316&lt;Constant!$A$6,175)</f>
        <v>275</v>
      </c>
      <c r="J316" s="16">
        <f t="shared" si="35"/>
        <v>955</v>
      </c>
      <c r="K316" s="16">
        <f t="shared" si="36"/>
        <v>0</v>
      </c>
      <c r="L316" s="14">
        <f t="shared" si="37"/>
        <v>955</v>
      </c>
      <c r="M316" s="44">
        <f t="shared" si="38"/>
        <v>0</v>
      </c>
    </row>
    <row r="317" spans="1:13" x14ac:dyDescent="0.25">
      <c r="A317" s="14">
        <f>'Manager''s Page'!H317</f>
        <v>315</v>
      </c>
      <c r="B317" s="15">
        <f t="shared" si="39"/>
        <v>5000</v>
      </c>
      <c r="C317" s="16">
        <f>'Manager''s Page'!I317</f>
        <v>727</v>
      </c>
      <c r="D317" s="16">
        <f t="shared" si="32"/>
        <v>727</v>
      </c>
      <c r="E317" s="16">
        <f t="shared" si="33"/>
        <v>0</v>
      </c>
      <c r="F317" s="16">
        <f t="shared" si="34"/>
        <v>4273</v>
      </c>
      <c r="G317" s="17">
        <f>F317*(Constant!$B$11/365)</f>
        <v>313.74356164383562</v>
      </c>
      <c r="H317" s="16">
        <f>IF(F317&lt;'Manager''s Page'!$B$11,'Manager''s Page'!$B$14,0)</f>
        <v>0</v>
      </c>
      <c r="I317" s="17" cm="1">
        <f t="array" ref="I317">_xlfn.IFS(H317&lt;Constant!$A$3,0,H317&lt;Constant!$A$4,375,H317&lt;Constant!$A$5,275,H317&lt;Constant!$A$6,175)</f>
        <v>0</v>
      </c>
      <c r="J317" s="16">
        <f t="shared" si="35"/>
        <v>727</v>
      </c>
      <c r="K317" s="16">
        <f t="shared" si="36"/>
        <v>4273</v>
      </c>
      <c r="L317" s="14">
        <f t="shared" si="37"/>
        <v>727</v>
      </c>
      <c r="M317" s="44">
        <f t="shared" si="38"/>
        <v>4273</v>
      </c>
    </row>
    <row r="318" spans="1:13" x14ac:dyDescent="0.25">
      <c r="A318" s="14">
        <f>'Manager''s Page'!H318</f>
        <v>316</v>
      </c>
      <c r="B318" s="15">
        <f t="shared" si="39"/>
        <v>4273</v>
      </c>
      <c r="C318" s="16">
        <f>'Manager''s Page'!I318</f>
        <v>901</v>
      </c>
      <c r="D318" s="16">
        <f t="shared" si="32"/>
        <v>901</v>
      </c>
      <c r="E318" s="16">
        <f t="shared" si="33"/>
        <v>0</v>
      </c>
      <c r="F318" s="16">
        <f t="shared" si="34"/>
        <v>3372</v>
      </c>
      <c r="G318" s="17">
        <f>F318*(Constant!$B$11/365)</f>
        <v>247.58794520547949</v>
      </c>
      <c r="H318" s="16">
        <f>IF(F318&lt;'Manager''s Page'!$B$11,'Manager''s Page'!$B$14,0)</f>
        <v>0</v>
      </c>
      <c r="I318" s="17" cm="1">
        <f t="array" ref="I318">_xlfn.IFS(H318&lt;Constant!$A$3,0,H318&lt;Constant!$A$4,375,H318&lt;Constant!$A$5,275,H318&lt;Constant!$A$6,175)</f>
        <v>0</v>
      </c>
      <c r="J318" s="16">
        <f t="shared" si="35"/>
        <v>901</v>
      </c>
      <c r="K318" s="16">
        <f t="shared" si="36"/>
        <v>3372</v>
      </c>
      <c r="L318" s="14">
        <f t="shared" si="37"/>
        <v>901</v>
      </c>
      <c r="M318" s="44">
        <f t="shared" si="38"/>
        <v>3372</v>
      </c>
    </row>
    <row r="319" spans="1:13" x14ac:dyDescent="0.25">
      <c r="A319" s="14">
        <f>'Manager''s Page'!H319</f>
        <v>317</v>
      </c>
      <c r="B319" s="15">
        <f t="shared" si="39"/>
        <v>3372</v>
      </c>
      <c r="C319" s="16">
        <f>'Manager''s Page'!I319</f>
        <v>626</v>
      </c>
      <c r="D319" s="16">
        <f t="shared" si="32"/>
        <v>626</v>
      </c>
      <c r="E319" s="16">
        <f t="shared" si="33"/>
        <v>0</v>
      </c>
      <c r="F319" s="16">
        <f t="shared" si="34"/>
        <v>2746</v>
      </c>
      <c r="G319" s="17">
        <f>F319*(Constant!$B$11/365)</f>
        <v>201.62410958904113</v>
      </c>
      <c r="H319" s="16">
        <f>IF(F319&lt;'Manager''s Page'!$B$11,'Manager''s Page'!$B$14,0)</f>
        <v>0</v>
      </c>
      <c r="I319" s="17" cm="1">
        <f t="array" ref="I319">_xlfn.IFS(H319&lt;Constant!$A$3,0,H319&lt;Constant!$A$4,375,H319&lt;Constant!$A$5,275,H319&lt;Constant!$A$6,175)</f>
        <v>0</v>
      </c>
      <c r="J319" s="16">
        <f t="shared" si="35"/>
        <v>626</v>
      </c>
      <c r="K319" s="16">
        <f t="shared" si="36"/>
        <v>2746</v>
      </c>
      <c r="L319" s="14">
        <f t="shared" si="37"/>
        <v>626</v>
      </c>
      <c r="M319" s="44">
        <f t="shared" si="38"/>
        <v>2746</v>
      </c>
    </row>
    <row r="320" spans="1:13" x14ac:dyDescent="0.25">
      <c r="A320" s="14">
        <f>'Manager''s Page'!H320</f>
        <v>318</v>
      </c>
      <c r="B320" s="15">
        <f t="shared" si="39"/>
        <v>2746</v>
      </c>
      <c r="C320" s="16">
        <f>'Manager''s Page'!I320</f>
        <v>750</v>
      </c>
      <c r="D320" s="16">
        <f t="shared" si="32"/>
        <v>750</v>
      </c>
      <c r="E320" s="16">
        <f t="shared" si="33"/>
        <v>0</v>
      </c>
      <c r="F320" s="16">
        <f t="shared" si="34"/>
        <v>1996</v>
      </c>
      <c r="G320" s="17">
        <f>F320*(Constant!$B$11/365)</f>
        <v>146.55561643835617</v>
      </c>
      <c r="H320" s="16">
        <f>IF(F320&lt;'Manager''s Page'!$B$11,'Manager''s Page'!$B$14,0)</f>
        <v>0</v>
      </c>
      <c r="I320" s="17" cm="1">
        <f t="array" ref="I320">_xlfn.IFS(H320&lt;Constant!$A$3,0,H320&lt;Constant!$A$4,375,H320&lt;Constant!$A$5,275,H320&lt;Constant!$A$6,175)</f>
        <v>0</v>
      </c>
      <c r="J320" s="16">
        <f t="shared" si="35"/>
        <v>750</v>
      </c>
      <c r="K320" s="16">
        <f t="shared" si="36"/>
        <v>1996</v>
      </c>
      <c r="L320" s="14">
        <f t="shared" si="37"/>
        <v>750</v>
      </c>
      <c r="M320" s="44">
        <f t="shared" si="38"/>
        <v>1996</v>
      </c>
    </row>
    <row r="321" spans="1:13" x14ac:dyDescent="0.25">
      <c r="A321" s="14">
        <f>'Manager''s Page'!H321</f>
        <v>319</v>
      </c>
      <c r="B321" s="15">
        <f t="shared" si="39"/>
        <v>1996</v>
      </c>
      <c r="C321" s="16">
        <f>'Manager''s Page'!I321</f>
        <v>641</v>
      </c>
      <c r="D321" s="16">
        <f t="shared" si="32"/>
        <v>641</v>
      </c>
      <c r="E321" s="16">
        <f t="shared" si="33"/>
        <v>0</v>
      </c>
      <c r="F321" s="16">
        <f t="shared" si="34"/>
        <v>1355</v>
      </c>
      <c r="G321" s="17">
        <f>F321*(Constant!$B$11/365)</f>
        <v>99.490410958904121</v>
      </c>
      <c r="H321" s="16">
        <f>IF(F321&lt;'Manager''s Page'!$B$11,'Manager''s Page'!$B$14,0)</f>
        <v>0</v>
      </c>
      <c r="I321" s="17" cm="1">
        <f t="array" ref="I321">_xlfn.IFS(H321&lt;Constant!$A$3,0,H321&lt;Constant!$A$4,375,H321&lt;Constant!$A$5,275,H321&lt;Constant!$A$6,175)</f>
        <v>0</v>
      </c>
      <c r="J321" s="16">
        <f t="shared" si="35"/>
        <v>641</v>
      </c>
      <c r="K321" s="16">
        <f t="shared" si="36"/>
        <v>1355</v>
      </c>
      <c r="L321" s="14">
        <f t="shared" si="37"/>
        <v>641</v>
      </c>
      <c r="M321" s="44">
        <f t="shared" si="38"/>
        <v>1355</v>
      </c>
    </row>
    <row r="322" spans="1:13" x14ac:dyDescent="0.25">
      <c r="A322" s="14">
        <f>'Manager''s Page'!H322</f>
        <v>320</v>
      </c>
      <c r="B322" s="15">
        <f t="shared" si="39"/>
        <v>1355</v>
      </c>
      <c r="C322" s="16">
        <f>'Manager''s Page'!I322</f>
        <v>720</v>
      </c>
      <c r="D322" s="16">
        <f t="shared" si="32"/>
        <v>720</v>
      </c>
      <c r="E322" s="16">
        <f t="shared" si="33"/>
        <v>0</v>
      </c>
      <c r="F322" s="16">
        <f t="shared" si="34"/>
        <v>635</v>
      </c>
      <c r="G322" s="17">
        <f>F322*(Constant!$B$11/365)</f>
        <v>46.62465753424658</v>
      </c>
      <c r="H322" s="16">
        <f>IF(F322&lt;'Manager''s Page'!$B$11,'Manager''s Page'!$B$14,0)</f>
        <v>0</v>
      </c>
      <c r="I322" s="17" cm="1">
        <f t="array" ref="I322">_xlfn.IFS(H322&lt;Constant!$A$3,0,H322&lt;Constant!$A$4,375,H322&lt;Constant!$A$5,275,H322&lt;Constant!$A$6,175)</f>
        <v>0</v>
      </c>
      <c r="J322" s="16">
        <f t="shared" si="35"/>
        <v>720</v>
      </c>
      <c r="K322" s="16">
        <f t="shared" si="36"/>
        <v>635</v>
      </c>
      <c r="L322" s="14">
        <f t="shared" si="37"/>
        <v>720</v>
      </c>
      <c r="M322" s="44">
        <f t="shared" si="38"/>
        <v>635</v>
      </c>
    </row>
    <row r="323" spans="1:13" x14ac:dyDescent="0.25">
      <c r="A323" s="14">
        <f>'Manager''s Page'!H323</f>
        <v>321</v>
      </c>
      <c r="B323" s="15">
        <f t="shared" si="39"/>
        <v>635</v>
      </c>
      <c r="C323" s="16">
        <f>'Manager''s Page'!I323</f>
        <v>610</v>
      </c>
      <c r="D323" s="16">
        <f t="shared" si="32"/>
        <v>610</v>
      </c>
      <c r="E323" s="16">
        <f t="shared" si="33"/>
        <v>0</v>
      </c>
      <c r="F323" s="16">
        <f t="shared" si="34"/>
        <v>25</v>
      </c>
      <c r="G323" s="17">
        <f>F323*(Constant!$B$11/365)</f>
        <v>1.8356164383561646</v>
      </c>
      <c r="H323" s="16">
        <f>IF(F323&lt;'Manager''s Page'!$B$11,'Manager''s Page'!$B$14,0)</f>
        <v>5000</v>
      </c>
      <c r="I323" s="17" cm="1">
        <f t="array" ref="I323">_xlfn.IFS(H323&lt;Constant!$A$3,0,H323&lt;Constant!$A$4,375,H323&lt;Constant!$A$5,275,H323&lt;Constant!$A$6,175)</f>
        <v>275</v>
      </c>
      <c r="J323" s="16">
        <f t="shared" si="35"/>
        <v>610</v>
      </c>
      <c r="K323" s="16">
        <f t="shared" si="36"/>
        <v>25</v>
      </c>
      <c r="L323" s="14">
        <f t="shared" si="37"/>
        <v>610</v>
      </c>
      <c r="M323" s="44">
        <f t="shared" si="38"/>
        <v>25</v>
      </c>
    </row>
    <row r="324" spans="1:13" x14ac:dyDescent="0.25">
      <c r="A324" s="14">
        <f>'Manager''s Page'!H324</f>
        <v>322</v>
      </c>
      <c r="B324" s="15">
        <f t="shared" si="39"/>
        <v>5025</v>
      </c>
      <c r="C324" s="16">
        <f>'Manager''s Page'!I324</f>
        <v>820</v>
      </c>
      <c r="D324" s="16">
        <f t="shared" ref="D324:D367" si="40">IF(B324&gt;C324,C324,B324)</f>
        <v>820</v>
      </c>
      <c r="E324" s="16">
        <f t="shared" ref="E324:E367" si="41">C324-D324</f>
        <v>0</v>
      </c>
      <c r="F324" s="16">
        <f t="shared" ref="F324:F367" si="42">B324-D324</f>
        <v>4205</v>
      </c>
      <c r="G324" s="17">
        <f>F324*(Constant!$B$11/365)</f>
        <v>308.7506849315069</v>
      </c>
      <c r="H324" s="16">
        <f>IF(F324&lt;'Manager''s Page'!$B$11,'Manager''s Page'!$B$14,0)</f>
        <v>0</v>
      </c>
      <c r="I324" s="17" cm="1">
        <f t="array" ref="I324">_xlfn.IFS(H324&lt;Constant!$A$3,0,H324&lt;Constant!$A$4,375,H324&lt;Constant!$A$5,275,H324&lt;Constant!$A$6,175)</f>
        <v>0</v>
      </c>
      <c r="J324" s="16">
        <f t="shared" ref="J324:J367" si="43">C324</f>
        <v>820</v>
      </c>
      <c r="K324" s="16">
        <f t="shared" ref="K324:K367" si="44">F324</f>
        <v>4205</v>
      </c>
      <c r="L324" s="14">
        <f t="shared" ref="L324:L367" si="45">IF(L$2=TRUE,J324,NA())</f>
        <v>820</v>
      </c>
      <c r="M324" s="44">
        <f t="shared" ref="M324:M367" si="46">IF(M$2=TRUE,K324,NA())</f>
        <v>4205</v>
      </c>
    </row>
    <row r="325" spans="1:13" x14ac:dyDescent="0.25">
      <c r="A325" s="14">
        <f>'Manager''s Page'!H325</f>
        <v>323</v>
      </c>
      <c r="B325" s="15">
        <f t="shared" ref="B325:B367" si="47">F324+H324</f>
        <v>4205</v>
      </c>
      <c r="C325" s="16">
        <f>'Manager''s Page'!I325</f>
        <v>915</v>
      </c>
      <c r="D325" s="16">
        <f t="shared" si="40"/>
        <v>915</v>
      </c>
      <c r="E325" s="16">
        <f t="shared" si="41"/>
        <v>0</v>
      </c>
      <c r="F325" s="16">
        <f t="shared" si="42"/>
        <v>3290</v>
      </c>
      <c r="G325" s="17">
        <f>F325*(Constant!$B$11/365)</f>
        <v>241.56712328767125</v>
      </c>
      <c r="H325" s="16">
        <f>IF(F325&lt;'Manager''s Page'!$B$11,'Manager''s Page'!$B$14,0)</f>
        <v>0</v>
      </c>
      <c r="I325" s="17" cm="1">
        <f t="array" ref="I325">_xlfn.IFS(H325&lt;Constant!$A$3,0,H325&lt;Constant!$A$4,375,H325&lt;Constant!$A$5,275,H325&lt;Constant!$A$6,175)</f>
        <v>0</v>
      </c>
      <c r="J325" s="16">
        <f t="shared" si="43"/>
        <v>915</v>
      </c>
      <c r="K325" s="16">
        <f t="shared" si="44"/>
        <v>3290</v>
      </c>
      <c r="L325" s="14">
        <f t="shared" si="45"/>
        <v>915</v>
      </c>
      <c r="M325" s="44">
        <f t="shared" si="46"/>
        <v>3290</v>
      </c>
    </row>
    <row r="326" spans="1:13" x14ac:dyDescent="0.25">
      <c r="A326" s="14">
        <f>'Manager''s Page'!H326</f>
        <v>324</v>
      </c>
      <c r="B326" s="15">
        <f t="shared" si="47"/>
        <v>3290</v>
      </c>
      <c r="C326" s="16">
        <f>'Manager''s Page'!I326</f>
        <v>823</v>
      </c>
      <c r="D326" s="16">
        <f t="shared" si="40"/>
        <v>823</v>
      </c>
      <c r="E326" s="16">
        <f t="shared" si="41"/>
        <v>0</v>
      </c>
      <c r="F326" s="16">
        <f t="shared" si="42"/>
        <v>2467</v>
      </c>
      <c r="G326" s="17">
        <f>F326*(Constant!$B$11/365)</f>
        <v>181.13863013698631</v>
      </c>
      <c r="H326" s="16">
        <f>IF(F326&lt;'Manager''s Page'!$B$11,'Manager''s Page'!$B$14,0)</f>
        <v>0</v>
      </c>
      <c r="I326" s="17" cm="1">
        <f t="array" ref="I326">_xlfn.IFS(H326&lt;Constant!$A$3,0,H326&lt;Constant!$A$4,375,H326&lt;Constant!$A$5,275,H326&lt;Constant!$A$6,175)</f>
        <v>0</v>
      </c>
      <c r="J326" s="16">
        <f t="shared" si="43"/>
        <v>823</v>
      </c>
      <c r="K326" s="16">
        <f t="shared" si="44"/>
        <v>2467</v>
      </c>
      <c r="L326" s="14">
        <f t="shared" si="45"/>
        <v>823</v>
      </c>
      <c r="M326" s="44">
        <f t="shared" si="46"/>
        <v>2467</v>
      </c>
    </row>
    <row r="327" spans="1:13" x14ac:dyDescent="0.25">
      <c r="A327" s="14">
        <f>'Manager''s Page'!H327</f>
        <v>325</v>
      </c>
      <c r="B327" s="15">
        <f t="shared" si="47"/>
        <v>2467</v>
      </c>
      <c r="C327" s="16">
        <f>'Manager''s Page'!I327</f>
        <v>743</v>
      </c>
      <c r="D327" s="16">
        <f t="shared" si="40"/>
        <v>743</v>
      </c>
      <c r="E327" s="16">
        <f t="shared" si="41"/>
        <v>0</v>
      </c>
      <c r="F327" s="16">
        <f t="shared" si="42"/>
        <v>1724</v>
      </c>
      <c r="G327" s="17">
        <f>F327*(Constant!$B$11/365)</f>
        <v>126.58410958904111</v>
      </c>
      <c r="H327" s="16">
        <f>IF(F327&lt;'Manager''s Page'!$B$11,'Manager''s Page'!$B$14,0)</f>
        <v>0</v>
      </c>
      <c r="I327" s="17" cm="1">
        <f t="array" ref="I327">_xlfn.IFS(H327&lt;Constant!$A$3,0,H327&lt;Constant!$A$4,375,H327&lt;Constant!$A$5,275,H327&lt;Constant!$A$6,175)</f>
        <v>0</v>
      </c>
      <c r="J327" s="16">
        <f t="shared" si="43"/>
        <v>743</v>
      </c>
      <c r="K327" s="16">
        <f t="shared" si="44"/>
        <v>1724</v>
      </c>
      <c r="L327" s="14">
        <f t="shared" si="45"/>
        <v>743</v>
      </c>
      <c r="M327" s="44">
        <f t="shared" si="46"/>
        <v>1724</v>
      </c>
    </row>
    <row r="328" spans="1:13" x14ac:dyDescent="0.25">
      <c r="A328" s="14">
        <f>'Manager''s Page'!H328</f>
        <v>326</v>
      </c>
      <c r="B328" s="15">
        <f t="shared" si="47"/>
        <v>1724</v>
      </c>
      <c r="C328" s="16">
        <f>'Manager''s Page'!I328</f>
        <v>643</v>
      </c>
      <c r="D328" s="16">
        <f t="shared" si="40"/>
        <v>643</v>
      </c>
      <c r="E328" s="16">
        <f t="shared" si="41"/>
        <v>0</v>
      </c>
      <c r="F328" s="16">
        <f t="shared" si="42"/>
        <v>1081</v>
      </c>
      <c r="G328" s="17">
        <f>F328*(Constant!$B$11/365)</f>
        <v>79.372054794520551</v>
      </c>
      <c r="H328" s="16">
        <f>IF(F328&lt;'Manager''s Page'!$B$11,'Manager''s Page'!$B$14,0)</f>
        <v>0</v>
      </c>
      <c r="I328" s="17" cm="1">
        <f t="array" ref="I328">_xlfn.IFS(H328&lt;Constant!$A$3,0,H328&lt;Constant!$A$4,375,H328&lt;Constant!$A$5,275,H328&lt;Constant!$A$6,175)</f>
        <v>0</v>
      </c>
      <c r="J328" s="16">
        <f t="shared" si="43"/>
        <v>643</v>
      </c>
      <c r="K328" s="16">
        <f t="shared" si="44"/>
        <v>1081</v>
      </c>
      <c r="L328" s="14">
        <f t="shared" si="45"/>
        <v>643</v>
      </c>
      <c r="M328" s="44">
        <f t="shared" si="46"/>
        <v>1081</v>
      </c>
    </row>
    <row r="329" spans="1:13" x14ac:dyDescent="0.25">
      <c r="A329" s="14">
        <f>'Manager''s Page'!H329</f>
        <v>327</v>
      </c>
      <c r="B329" s="15">
        <f t="shared" si="47"/>
        <v>1081</v>
      </c>
      <c r="C329" s="16">
        <f>'Manager''s Page'!I329</f>
        <v>621</v>
      </c>
      <c r="D329" s="16">
        <f t="shared" si="40"/>
        <v>621</v>
      </c>
      <c r="E329" s="16">
        <f t="shared" si="41"/>
        <v>0</v>
      </c>
      <c r="F329" s="16">
        <f t="shared" si="42"/>
        <v>460</v>
      </c>
      <c r="G329" s="17">
        <f>F329*(Constant!$B$11/365)</f>
        <v>33.775342465753425</v>
      </c>
      <c r="H329" s="16">
        <f>IF(F329&lt;'Manager''s Page'!$B$11,'Manager''s Page'!$B$14,0)</f>
        <v>0</v>
      </c>
      <c r="I329" s="17" cm="1">
        <f t="array" ref="I329">_xlfn.IFS(H329&lt;Constant!$A$3,0,H329&lt;Constant!$A$4,375,H329&lt;Constant!$A$5,275,H329&lt;Constant!$A$6,175)</f>
        <v>0</v>
      </c>
      <c r="J329" s="16">
        <f t="shared" si="43"/>
        <v>621</v>
      </c>
      <c r="K329" s="16">
        <f t="shared" si="44"/>
        <v>460</v>
      </c>
      <c r="L329" s="14">
        <f t="shared" si="45"/>
        <v>621</v>
      </c>
      <c r="M329" s="44">
        <f t="shared" si="46"/>
        <v>460</v>
      </c>
    </row>
    <row r="330" spans="1:13" x14ac:dyDescent="0.25">
      <c r="A330" s="14">
        <f>'Manager''s Page'!H330</f>
        <v>328</v>
      </c>
      <c r="B330" s="15">
        <f t="shared" si="47"/>
        <v>460</v>
      </c>
      <c r="C330" s="16">
        <f>'Manager''s Page'!I330</f>
        <v>871</v>
      </c>
      <c r="D330" s="16">
        <f t="shared" si="40"/>
        <v>460</v>
      </c>
      <c r="E330" s="16">
        <f t="shared" si="41"/>
        <v>411</v>
      </c>
      <c r="F330" s="16">
        <f t="shared" si="42"/>
        <v>0</v>
      </c>
      <c r="G330" s="17">
        <f>F330*(Constant!$B$11/365)</f>
        <v>0</v>
      </c>
      <c r="H330" s="16">
        <f>IF(F330&lt;'Manager''s Page'!$B$11,'Manager''s Page'!$B$14,0)</f>
        <v>5000</v>
      </c>
      <c r="I330" s="17" cm="1">
        <f t="array" ref="I330">_xlfn.IFS(H330&lt;Constant!$A$3,0,H330&lt;Constant!$A$4,375,H330&lt;Constant!$A$5,275,H330&lt;Constant!$A$6,175)</f>
        <v>275</v>
      </c>
      <c r="J330" s="16">
        <f t="shared" si="43"/>
        <v>871</v>
      </c>
      <c r="K330" s="16">
        <f t="shared" si="44"/>
        <v>0</v>
      </c>
      <c r="L330" s="14">
        <f t="shared" si="45"/>
        <v>871</v>
      </c>
      <c r="M330" s="44">
        <f t="shared" si="46"/>
        <v>0</v>
      </c>
    </row>
    <row r="331" spans="1:13" x14ac:dyDescent="0.25">
      <c r="A331" s="14">
        <f>'Manager''s Page'!H331</f>
        <v>329</v>
      </c>
      <c r="B331" s="15">
        <f t="shared" si="47"/>
        <v>5000</v>
      </c>
      <c r="C331" s="16">
        <f>'Manager''s Page'!I331</f>
        <v>561</v>
      </c>
      <c r="D331" s="16">
        <f t="shared" si="40"/>
        <v>561</v>
      </c>
      <c r="E331" s="16">
        <f t="shared" si="41"/>
        <v>0</v>
      </c>
      <c r="F331" s="16">
        <f t="shared" si="42"/>
        <v>4439</v>
      </c>
      <c r="G331" s="17">
        <f>F331*(Constant!$B$11/365)</f>
        <v>325.93205479452058</v>
      </c>
      <c r="H331" s="16">
        <f>IF(F331&lt;'Manager''s Page'!$B$11,'Manager''s Page'!$B$14,0)</f>
        <v>0</v>
      </c>
      <c r="I331" s="17" cm="1">
        <f t="array" ref="I331">_xlfn.IFS(H331&lt;Constant!$A$3,0,H331&lt;Constant!$A$4,375,H331&lt;Constant!$A$5,275,H331&lt;Constant!$A$6,175)</f>
        <v>0</v>
      </c>
      <c r="J331" s="16">
        <f t="shared" si="43"/>
        <v>561</v>
      </c>
      <c r="K331" s="16">
        <f t="shared" si="44"/>
        <v>4439</v>
      </c>
      <c r="L331" s="14">
        <f t="shared" si="45"/>
        <v>561</v>
      </c>
      <c r="M331" s="44">
        <f t="shared" si="46"/>
        <v>4439</v>
      </c>
    </row>
    <row r="332" spans="1:13" x14ac:dyDescent="0.25">
      <c r="A332" s="14">
        <f>'Manager''s Page'!H332</f>
        <v>330</v>
      </c>
      <c r="B332" s="15">
        <f t="shared" si="47"/>
        <v>4439</v>
      </c>
      <c r="C332" s="16">
        <f>'Manager''s Page'!I332</f>
        <v>881</v>
      </c>
      <c r="D332" s="16">
        <f t="shared" si="40"/>
        <v>881</v>
      </c>
      <c r="E332" s="16">
        <f t="shared" si="41"/>
        <v>0</v>
      </c>
      <c r="F332" s="16">
        <f t="shared" si="42"/>
        <v>3558</v>
      </c>
      <c r="G332" s="17">
        <f>F332*(Constant!$B$11/365)</f>
        <v>261.24493150684935</v>
      </c>
      <c r="H332" s="16">
        <f>IF(F332&lt;'Manager''s Page'!$B$11,'Manager''s Page'!$B$14,0)</f>
        <v>0</v>
      </c>
      <c r="I332" s="17" cm="1">
        <f t="array" ref="I332">_xlfn.IFS(H332&lt;Constant!$A$3,0,H332&lt;Constant!$A$4,375,H332&lt;Constant!$A$5,275,H332&lt;Constant!$A$6,175)</f>
        <v>0</v>
      </c>
      <c r="J332" s="16">
        <f t="shared" si="43"/>
        <v>881</v>
      </c>
      <c r="K332" s="16">
        <f t="shared" si="44"/>
        <v>3558</v>
      </c>
      <c r="L332" s="14">
        <f t="shared" si="45"/>
        <v>881</v>
      </c>
      <c r="M332" s="44">
        <f t="shared" si="46"/>
        <v>3558</v>
      </c>
    </row>
    <row r="333" spans="1:13" x14ac:dyDescent="0.25">
      <c r="A333" s="14">
        <f>'Manager''s Page'!H333</f>
        <v>331</v>
      </c>
      <c r="B333" s="15">
        <f t="shared" si="47"/>
        <v>3558</v>
      </c>
      <c r="C333" s="16">
        <f>'Manager''s Page'!I333</f>
        <v>271</v>
      </c>
      <c r="D333" s="16">
        <f t="shared" si="40"/>
        <v>271</v>
      </c>
      <c r="E333" s="16">
        <f t="shared" si="41"/>
        <v>0</v>
      </c>
      <c r="F333" s="16">
        <f t="shared" si="42"/>
        <v>3287</v>
      </c>
      <c r="G333" s="17">
        <f>F333*(Constant!$B$11/365)</f>
        <v>241.34684931506851</v>
      </c>
      <c r="H333" s="16">
        <f>IF(F333&lt;'Manager''s Page'!$B$11,'Manager''s Page'!$B$14,0)</f>
        <v>0</v>
      </c>
      <c r="I333" s="17" cm="1">
        <f t="array" ref="I333">_xlfn.IFS(H333&lt;Constant!$A$3,0,H333&lt;Constant!$A$4,375,H333&lt;Constant!$A$5,275,H333&lt;Constant!$A$6,175)</f>
        <v>0</v>
      </c>
      <c r="J333" s="16">
        <f t="shared" si="43"/>
        <v>271</v>
      </c>
      <c r="K333" s="16">
        <f t="shared" si="44"/>
        <v>3287</v>
      </c>
      <c r="L333" s="14">
        <f t="shared" si="45"/>
        <v>271</v>
      </c>
      <c r="M333" s="44">
        <f t="shared" si="46"/>
        <v>3287</v>
      </c>
    </row>
    <row r="334" spans="1:13" x14ac:dyDescent="0.25">
      <c r="A334" s="14">
        <f>'Manager''s Page'!H334</f>
        <v>332</v>
      </c>
      <c r="B334" s="15">
        <f t="shared" si="47"/>
        <v>3287</v>
      </c>
      <c r="C334" s="16">
        <f>'Manager''s Page'!I334</f>
        <v>824</v>
      </c>
      <c r="D334" s="16">
        <f t="shared" si="40"/>
        <v>824</v>
      </c>
      <c r="E334" s="16">
        <f t="shared" si="41"/>
        <v>0</v>
      </c>
      <c r="F334" s="16">
        <f t="shared" si="42"/>
        <v>2463</v>
      </c>
      <c r="G334" s="17">
        <f>F334*(Constant!$B$11/365)</f>
        <v>180.84493150684932</v>
      </c>
      <c r="H334" s="16">
        <f>IF(F334&lt;'Manager''s Page'!$B$11,'Manager''s Page'!$B$14,0)</f>
        <v>0</v>
      </c>
      <c r="I334" s="17" cm="1">
        <f t="array" ref="I334">_xlfn.IFS(H334&lt;Constant!$A$3,0,H334&lt;Constant!$A$4,375,H334&lt;Constant!$A$5,275,H334&lt;Constant!$A$6,175)</f>
        <v>0</v>
      </c>
      <c r="J334" s="16">
        <f t="shared" si="43"/>
        <v>824</v>
      </c>
      <c r="K334" s="16">
        <f t="shared" si="44"/>
        <v>2463</v>
      </c>
      <c r="L334" s="14">
        <f t="shared" si="45"/>
        <v>824</v>
      </c>
      <c r="M334" s="44">
        <f t="shared" si="46"/>
        <v>2463</v>
      </c>
    </row>
    <row r="335" spans="1:13" x14ac:dyDescent="0.25">
      <c r="A335" s="14">
        <f>'Manager''s Page'!H335</f>
        <v>333</v>
      </c>
      <c r="B335" s="15">
        <f t="shared" si="47"/>
        <v>2463</v>
      </c>
      <c r="C335" s="16">
        <f>'Manager''s Page'!I335</f>
        <v>482</v>
      </c>
      <c r="D335" s="16">
        <f t="shared" si="40"/>
        <v>482</v>
      </c>
      <c r="E335" s="16">
        <f t="shared" si="41"/>
        <v>0</v>
      </c>
      <c r="F335" s="16">
        <f t="shared" si="42"/>
        <v>1981</v>
      </c>
      <c r="G335" s="17">
        <f>F335*(Constant!$B$11/365)</f>
        <v>145.45424657534247</v>
      </c>
      <c r="H335" s="16">
        <f>IF(F335&lt;'Manager''s Page'!$B$11,'Manager''s Page'!$B$14,0)</f>
        <v>0</v>
      </c>
      <c r="I335" s="17" cm="1">
        <f t="array" ref="I335">_xlfn.IFS(H335&lt;Constant!$A$3,0,H335&lt;Constant!$A$4,375,H335&lt;Constant!$A$5,275,H335&lt;Constant!$A$6,175)</f>
        <v>0</v>
      </c>
      <c r="J335" s="16">
        <f t="shared" si="43"/>
        <v>482</v>
      </c>
      <c r="K335" s="16">
        <f t="shared" si="44"/>
        <v>1981</v>
      </c>
      <c r="L335" s="14">
        <f t="shared" si="45"/>
        <v>482</v>
      </c>
      <c r="M335" s="44">
        <f t="shared" si="46"/>
        <v>1981</v>
      </c>
    </row>
    <row r="336" spans="1:13" x14ac:dyDescent="0.25">
      <c r="A336" s="14">
        <f>'Manager''s Page'!H336</f>
        <v>334</v>
      </c>
      <c r="B336" s="15">
        <f t="shared" si="47"/>
        <v>1981</v>
      </c>
      <c r="C336" s="16">
        <f>'Manager''s Page'!I336</f>
        <v>790</v>
      </c>
      <c r="D336" s="16">
        <f t="shared" si="40"/>
        <v>790</v>
      </c>
      <c r="E336" s="16">
        <f t="shared" si="41"/>
        <v>0</v>
      </c>
      <c r="F336" s="16">
        <f t="shared" si="42"/>
        <v>1191</v>
      </c>
      <c r="G336" s="17">
        <f>F336*(Constant!$B$11/365)</f>
        <v>87.448767123287681</v>
      </c>
      <c r="H336" s="16">
        <f>IF(F336&lt;'Manager''s Page'!$B$11,'Manager''s Page'!$B$14,0)</f>
        <v>0</v>
      </c>
      <c r="I336" s="17" cm="1">
        <f t="array" ref="I336">_xlfn.IFS(H336&lt;Constant!$A$3,0,H336&lt;Constant!$A$4,375,H336&lt;Constant!$A$5,275,H336&lt;Constant!$A$6,175)</f>
        <v>0</v>
      </c>
      <c r="J336" s="16">
        <f t="shared" si="43"/>
        <v>790</v>
      </c>
      <c r="K336" s="16">
        <f t="shared" si="44"/>
        <v>1191</v>
      </c>
      <c r="L336" s="14">
        <f t="shared" si="45"/>
        <v>790</v>
      </c>
      <c r="M336" s="44">
        <f t="shared" si="46"/>
        <v>1191</v>
      </c>
    </row>
    <row r="337" spans="1:13" x14ac:dyDescent="0.25">
      <c r="A337" s="14">
        <f>'Manager''s Page'!H337</f>
        <v>335</v>
      </c>
      <c r="B337" s="15">
        <f t="shared" si="47"/>
        <v>1191</v>
      </c>
      <c r="C337" s="16">
        <f>'Manager''s Page'!I337</f>
        <v>221</v>
      </c>
      <c r="D337" s="16">
        <f t="shared" si="40"/>
        <v>221</v>
      </c>
      <c r="E337" s="16">
        <f t="shared" si="41"/>
        <v>0</v>
      </c>
      <c r="F337" s="16">
        <f t="shared" si="42"/>
        <v>970</v>
      </c>
      <c r="G337" s="17">
        <f>F337*(Constant!$B$11/365)</f>
        <v>71.221917808219189</v>
      </c>
      <c r="H337" s="16">
        <f>IF(F337&lt;'Manager''s Page'!$B$11,'Manager''s Page'!$B$14,0)</f>
        <v>0</v>
      </c>
      <c r="I337" s="17" cm="1">
        <f t="array" ref="I337">_xlfn.IFS(H337&lt;Constant!$A$3,0,H337&lt;Constant!$A$4,375,H337&lt;Constant!$A$5,275,H337&lt;Constant!$A$6,175)</f>
        <v>0</v>
      </c>
      <c r="J337" s="16">
        <f t="shared" si="43"/>
        <v>221</v>
      </c>
      <c r="K337" s="16">
        <f t="shared" si="44"/>
        <v>970</v>
      </c>
      <c r="L337" s="14">
        <f t="shared" si="45"/>
        <v>221</v>
      </c>
      <c r="M337" s="44">
        <f t="shared" si="46"/>
        <v>970</v>
      </c>
    </row>
    <row r="338" spans="1:13" x14ac:dyDescent="0.25">
      <c r="A338" s="14">
        <f>'Manager''s Page'!H338</f>
        <v>336</v>
      </c>
      <c r="B338" s="15">
        <f t="shared" si="47"/>
        <v>970</v>
      </c>
      <c r="C338" s="16">
        <f>'Manager''s Page'!I338</f>
        <v>580</v>
      </c>
      <c r="D338" s="16">
        <f t="shared" si="40"/>
        <v>580</v>
      </c>
      <c r="E338" s="16">
        <f t="shared" si="41"/>
        <v>0</v>
      </c>
      <c r="F338" s="16">
        <f t="shared" si="42"/>
        <v>390</v>
      </c>
      <c r="G338" s="17">
        <f>F338*(Constant!$B$11/365)</f>
        <v>28.635616438356166</v>
      </c>
      <c r="H338" s="16">
        <f>IF(F338&lt;'Manager''s Page'!$B$11,'Manager''s Page'!$B$14,0)</f>
        <v>0</v>
      </c>
      <c r="I338" s="17" cm="1">
        <f t="array" ref="I338">_xlfn.IFS(H338&lt;Constant!$A$3,0,H338&lt;Constant!$A$4,375,H338&lt;Constant!$A$5,275,H338&lt;Constant!$A$6,175)</f>
        <v>0</v>
      </c>
      <c r="J338" s="16">
        <f t="shared" si="43"/>
        <v>580</v>
      </c>
      <c r="K338" s="16">
        <f t="shared" si="44"/>
        <v>390</v>
      </c>
      <c r="L338" s="14">
        <f t="shared" si="45"/>
        <v>580</v>
      </c>
      <c r="M338" s="44">
        <f t="shared" si="46"/>
        <v>390</v>
      </c>
    </row>
    <row r="339" spans="1:13" x14ac:dyDescent="0.25">
      <c r="A339" s="14">
        <f>'Manager''s Page'!H339</f>
        <v>337</v>
      </c>
      <c r="B339" s="15">
        <f t="shared" si="47"/>
        <v>390</v>
      </c>
      <c r="C339" s="16">
        <f>'Manager''s Page'!I339</f>
        <v>312</v>
      </c>
      <c r="D339" s="16">
        <f t="shared" si="40"/>
        <v>312</v>
      </c>
      <c r="E339" s="16">
        <f t="shared" si="41"/>
        <v>0</v>
      </c>
      <c r="F339" s="16">
        <f t="shared" si="42"/>
        <v>78</v>
      </c>
      <c r="G339" s="17">
        <f>F339*(Constant!$B$11/365)</f>
        <v>5.7271232876712332</v>
      </c>
      <c r="H339" s="16">
        <f>IF(F339&lt;'Manager''s Page'!$B$11,'Manager''s Page'!$B$14,0)</f>
        <v>5000</v>
      </c>
      <c r="I339" s="17" cm="1">
        <f t="array" ref="I339">_xlfn.IFS(H339&lt;Constant!$A$3,0,H339&lt;Constant!$A$4,375,H339&lt;Constant!$A$5,275,H339&lt;Constant!$A$6,175)</f>
        <v>275</v>
      </c>
      <c r="J339" s="16">
        <f t="shared" si="43"/>
        <v>312</v>
      </c>
      <c r="K339" s="16">
        <f t="shared" si="44"/>
        <v>78</v>
      </c>
      <c r="L339" s="14">
        <f t="shared" si="45"/>
        <v>312</v>
      </c>
      <c r="M339" s="44">
        <f t="shared" si="46"/>
        <v>78</v>
      </c>
    </row>
    <row r="340" spans="1:13" x14ac:dyDescent="0.25">
      <c r="A340" s="14">
        <f>'Manager''s Page'!H340</f>
        <v>338</v>
      </c>
      <c r="B340" s="15">
        <f t="shared" si="47"/>
        <v>5078</v>
      </c>
      <c r="C340" s="16">
        <f>'Manager''s Page'!I340</f>
        <v>313</v>
      </c>
      <c r="D340" s="16">
        <f t="shared" si="40"/>
        <v>313</v>
      </c>
      <c r="E340" s="16">
        <f t="shared" si="41"/>
        <v>0</v>
      </c>
      <c r="F340" s="16">
        <f t="shared" si="42"/>
        <v>4765</v>
      </c>
      <c r="G340" s="17">
        <f>F340*(Constant!$B$11/365)</f>
        <v>349.86849315068497</v>
      </c>
      <c r="H340" s="16">
        <f>IF(F340&lt;'Manager''s Page'!$B$11,'Manager''s Page'!$B$14,0)</f>
        <v>0</v>
      </c>
      <c r="I340" s="17" cm="1">
        <f t="array" ref="I340">_xlfn.IFS(H340&lt;Constant!$A$3,0,H340&lt;Constant!$A$4,375,H340&lt;Constant!$A$5,275,H340&lt;Constant!$A$6,175)</f>
        <v>0</v>
      </c>
      <c r="J340" s="16">
        <f t="shared" si="43"/>
        <v>313</v>
      </c>
      <c r="K340" s="16">
        <f t="shared" si="44"/>
        <v>4765</v>
      </c>
      <c r="L340" s="14">
        <f t="shared" si="45"/>
        <v>313</v>
      </c>
      <c r="M340" s="44">
        <f t="shared" si="46"/>
        <v>4765</v>
      </c>
    </row>
    <row r="341" spans="1:13" x14ac:dyDescent="0.25">
      <c r="A341" s="14">
        <f>'Manager''s Page'!H341</f>
        <v>339</v>
      </c>
      <c r="B341" s="15">
        <f t="shared" si="47"/>
        <v>4765</v>
      </c>
      <c r="C341" s="16">
        <f>'Manager''s Page'!I341</f>
        <v>793</v>
      </c>
      <c r="D341" s="16">
        <f t="shared" si="40"/>
        <v>793</v>
      </c>
      <c r="E341" s="16">
        <f t="shared" si="41"/>
        <v>0</v>
      </c>
      <c r="F341" s="16">
        <f t="shared" si="42"/>
        <v>3972</v>
      </c>
      <c r="G341" s="17">
        <f>F341*(Constant!$B$11/365)</f>
        <v>291.6427397260274</v>
      </c>
      <c r="H341" s="16">
        <f>IF(F341&lt;'Manager''s Page'!$B$11,'Manager''s Page'!$B$14,0)</f>
        <v>0</v>
      </c>
      <c r="I341" s="17" cm="1">
        <f t="array" ref="I341">_xlfn.IFS(H341&lt;Constant!$A$3,0,H341&lt;Constant!$A$4,375,H341&lt;Constant!$A$5,275,H341&lt;Constant!$A$6,175)</f>
        <v>0</v>
      </c>
      <c r="J341" s="16">
        <f t="shared" si="43"/>
        <v>793</v>
      </c>
      <c r="K341" s="16">
        <f t="shared" si="44"/>
        <v>3972</v>
      </c>
      <c r="L341" s="14">
        <f t="shared" si="45"/>
        <v>793</v>
      </c>
      <c r="M341" s="44">
        <f t="shared" si="46"/>
        <v>3972</v>
      </c>
    </row>
    <row r="342" spans="1:13" x14ac:dyDescent="0.25">
      <c r="A342" s="14">
        <f>'Manager''s Page'!H342</f>
        <v>340</v>
      </c>
      <c r="B342" s="15">
        <f t="shared" si="47"/>
        <v>3972</v>
      </c>
      <c r="C342" s="16">
        <f>'Manager''s Page'!I342</f>
        <v>473</v>
      </c>
      <c r="D342" s="16">
        <f t="shared" si="40"/>
        <v>473</v>
      </c>
      <c r="E342" s="16">
        <f t="shared" si="41"/>
        <v>0</v>
      </c>
      <c r="F342" s="16">
        <f t="shared" si="42"/>
        <v>3499</v>
      </c>
      <c r="G342" s="17">
        <f>F342*(Constant!$B$11/365)</f>
        <v>256.9128767123288</v>
      </c>
      <c r="H342" s="16">
        <f>IF(F342&lt;'Manager''s Page'!$B$11,'Manager''s Page'!$B$14,0)</f>
        <v>0</v>
      </c>
      <c r="I342" s="17" cm="1">
        <f t="array" ref="I342">_xlfn.IFS(H342&lt;Constant!$A$3,0,H342&lt;Constant!$A$4,375,H342&lt;Constant!$A$5,275,H342&lt;Constant!$A$6,175)</f>
        <v>0</v>
      </c>
      <c r="J342" s="16">
        <f t="shared" si="43"/>
        <v>473</v>
      </c>
      <c r="K342" s="16">
        <f t="shared" si="44"/>
        <v>3499</v>
      </c>
      <c r="L342" s="14">
        <f t="shared" si="45"/>
        <v>473</v>
      </c>
      <c r="M342" s="44">
        <f t="shared" si="46"/>
        <v>3499</v>
      </c>
    </row>
    <row r="343" spans="1:13" x14ac:dyDescent="0.25">
      <c r="A343" s="14">
        <f>'Manager''s Page'!H343</f>
        <v>341</v>
      </c>
      <c r="B343" s="15">
        <f t="shared" si="47"/>
        <v>3499</v>
      </c>
      <c r="C343" s="16">
        <f>'Manager''s Page'!I343</f>
        <v>440</v>
      </c>
      <c r="D343" s="16">
        <f t="shared" si="40"/>
        <v>440</v>
      </c>
      <c r="E343" s="16">
        <f t="shared" si="41"/>
        <v>0</v>
      </c>
      <c r="F343" s="16">
        <f t="shared" si="42"/>
        <v>3059</v>
      </c>
      <c r="G343" s="17">
        <f>F343*(Constant!$B$11/365)</f>
        <v>224.60602739726031</v>
      </c>
      <c r="H343" s="16">
        <f>IF(F343&lt;'Manager''s Page'!$B$11,'Manager''s Page'!$B$14,0)</f>
        <v>0</v>
      </c>
      <c r="I343" s="17" cm="1">
        <f t="array" ref="I343">_xlfn.IFS(H343&lt;Constant!$A$3,0,H343&lt;Constant!$A$4,375,H343&lt;Constant!$A$5,275,H343&lt;Constant!$A$6,175)</f>
        <v>0</v>
      </c>
      <c r="J343" s="16">
        <f t="shared" si="43"/>
        <v>440</v>
      </c>
      <c r="K343" s="16">
        <f t="shared" si="44"/>
        <v>3059</v>
      </c>
      <c r="L343" s="14">
        <f t="shared" si="45"/>
        <v>440</v>
      </c>
      <c r="M343" s="44">
        <f t="shared" si="46"/>
        <v>3059</v>
      </c>
    </row>
    <row r="344" spans="1:13" x14ac:dyDescent="0.25">
      <c r="A344" s="14">
        <f>'Manager''s Page'!H344</f>
        <v>342</v>
      </c>
      <c r="B344" s="15">
        <f t="shared" si="47"/>
        <v>3059</v>
      </c>
      <c r="C344" s="16">
        <f>'Manager''s Page'!I344</f>
        <v>415</v>
      </c>
      <c r="D344" s="16">
        <f t="shared" si="40"/>
        <v>415</v>
      </c>
      <c r="E344" s="16">
        <f t="shared" si="41"/>
        <v>0</v>
      </c>
      <c r="F344" s="16">
        <f t="shared" si="42"/>
        <v>2644</v>
      </c>
      <c r="G344" s="17">
        <f>F344*(Constant!$B$11/365)</f>
        <v>194.13479452054796</v>
      </c>
      <c r="H344" s="16">
        <f>IF(F344&lt;'Manager''s Page'!$B$11,'Manager''s Page'!$B$14,0)</f>
        <v>0</v>
      </c>
      <c r="I344" s="17" cm="1">
        <f t="array" ref="I344">_xlfn.IFS(H344&lt;Constant!$A$3,0,H344&lt;Constant!$A$4,375,H344&lt;Constant!$A$5,275,H344&lt;Constant!$A$6,175)</f>
        <v>0</v>
      </c>
      <c r="J344" s="16">
        <f t="shared" si="43"/>
        <v>415</v>
      </c>
      <c r="K344" s="16">
        <f t="shared" si="44"/>
        <v>2644</v>
      </c>
      <c r="L344" s="14">
        <f t="shared" si="45"/>
        <v>415</v>
      </c>
      <c r="M344" s="44">
        <f t="shared" si="46"/>
        <v>2644</v>
      </c>
    </row>
    <row r="345" spans="1:13" x14ac:dyDescent="0.25">
      <c r="A345" s="14">
        <f>'Manager''s Page'!H345</f>
        <v>343</v>
      </c>
      <c r="B345" s="15">
        <f t="shared" si="47"/>
        <v>2644</v>
      </c>
      <c r="C345" s="16">
        <f>'Manager''s Page'!I345</f>
        <v>881</v>
      </c>
      <c r="D345" s="16">
        <f t="shared" si="40"/>
        <v>881</v>
      </c>
      <c r="E345" s="16">
        <f t="shared" si="41"/>
        <v>0</v>
      </c>
      <c r="F345" s="16">
        <f t="shared" si="42"/>
        <v>1763</v>
      </c>
      <c r="G345" s="17">
        <f>F345*(Constant!$B$11/365)</f>
        <v>129.44767123287673</v>
      </c>
      <c r="H345" s="16">
        <f>IF(F345&lt;'Manager''s Page'!$B$11,'Manager''s Page'!$B$14,0)</f>
        <v>0</v>
      </c>
      <c r="I345" s="17" cm="1">
        <f t="array" ref="I345">_xlfn.IFS(H345&lt;Constant!$A$3,0,H345&lt;Constant!$A$4,375,H345&lt;Constant!$A$5,275,H345&lt;Constant!$A$6,175)</f>
        <v>0</v>
      </c>
      <c r="J345" s="16">
        <f t="shared" si="43"/>
        <v>881</v>
      </c>
      <c r="K345" s="16">
        <f t="shared" si="44"/>
        <v>1763</v>
      </c>
      <c r="L345" s="14">
        <f t="shared" si="45"/>
        <v>881</v>
      </c>
      <c r="M345" s="44">
        <f t="shared" si="46"/>
        <v>1763</v>
      </c>
    </row>
    <row r="346" spans="1:13" x14ac:dyDescent="0.25">
      <c r="A346" s="14">
        <f>'Manager''s Page'!H346</f>
        <v>344</v>
      </c>
      <c r="B346" s="15">
        <f t="shared" si="47"/>
        <v>1763</v>
      </c>
      <c r="C346" s="16">
        <f>'Manager''s Page'!I346</f>
        <v>802</v>
      </c>
      <c r="D346" s="16">
        <f t="shared" si="40"/>
        <v>802</v>
      </c>
      <c r="E346" s="16">
        <f t="shared" si="41"/>
        <v>0</v>
      </c>
      <c r="F346" s="16">
        <f t="shared" si="42"/>
        <v>961</v>
      </c>
      <c r="G346" s="17">
        <f>F346*(Constant!$B$11/365)</f>
        <v>70.561095890410968</v>
      </c>
      <c r="H346" s="16">
        <f>IF(F346&lt;'Manager''s Page'!$B$11,'Manager''s Page'!$B$14,0)</f>
        <v>0</v>
      </c>
      <c r="I346" s="17" cm="1">
        <f t="array" ref="I346">_xlfn.IFS(H346&lt;Constant!$A$3,0,H346&lt;Constant!$A$4,375,H346&lt;Constant!$A$5,275,H346&lt;Constant!$A$6,175)</f>
        <v>0</v>
      </c>
      <c r="J346" s="16">
        <f t="shared" si="43"/>
        <v>802</v>
      </c>
      <c r="K346" s="16">
        <f t="shared" si="44"/>
        <v>961</v>
      </c>
      <c r="L346" s="14">
        <f t="shared" si="45"/>
        <v>802</v>
      </c>
      <c r="M346" s="44">
        <f t="shared" si="46"/>
        <v>961</v>
      </c>
    </row>
    <row r="347" spans="1:13" x14ac:dyDescent="0.25">
      <c r="A347" s="14">
        <f>'Manager''s Page'!H347</f>
        <v>345</v>
      </c>
      <c r="B347" s="15">
        <f t="shared" si="47"/>
        <v>961</v>
      </c>
      <c r="C347" s="16">
        <f>'Manager''s Page'!I347</f>
        <v>230</v>
      </c>
      <c r="D347" s="16">
        <f t="shared" si="40"/>
        <v>230</v>
      </c>
      <c r="E347" s="16">
        <f t="shared" si="41"/>
        <v>0</v>
      </c>
      <c r="F347" s="16">
        <f t="shared" si="42"/>
        <v>731</v>
      </c>
      <c r="G347" s="17">
        <f>F347*(Constant!$B$11/365)</f>
        <v>53.673424657534248</v>
      </c>
      <c r="H347" s="16">
        <f>IF(F347&lt;'Manager''s Page'!$B$11,'Manager''s Page'!$B$14,0)</f>
        <v>0</v>
      </c>
      <c r="I347" s="17" cm="1">
        <f t="array" ref="I347">_xlfn.IFS(H347&lt;Constant!$A$3,0,H347&lt;Constant!$A$4,375,H347&lt;Constant!$A$5,275,H347&lt;Constant!$A$6,175)</f>
        <v>0</v>
      </c>
      <c r="J347" s="16">
        <f t="shared" si="43"/>
        <v>230</v>
      </c>
      <c r="K347" s="16">
        <f t="shared" si="44"/>
        <v>731</v>
      </c>
      <c r="L347" s="14">
        <f t="shared" si="45"/>
        <v>230</v>
      </c>
      <c r="M347" s="44">
        <f t="shared" si="46"/>
        <v>731</v>
      </c>
    </row>
    <row r="348" spans="1:13" x14ac:dyDescent="0.25">
      <c r="A348" s="14">
        <f>'Manager''s Page'!H348</f>
        <v>346</v>
      </c>
      <c r="B348" s="15">
        <f t="shared" si="47"/>
        <v>731</v>
      </c>
      <c r="C348" s="16">
        <f>'Manager''s Page'!I348</f>
        <v>781</v>
      </c>
      <c r="D348" s="16">
        <f t="shared" si="40"/>
        <v>731</v>
      </c>
      <c r="E348" s="16">
        <f t="shared" si="41"/>
        <v>50</v>
      </c>
      <c r="F348" s="16">
        <f t="shared" si="42"/>
        <v>0</v>
      </c>
      <c r="G348" s="17">
        <f>F348*(Constant!$B$11/365)</f>
        <v>0</v>
      </c>
      <c r="H348" s="16">
        <f>IF(F348&lt;'Manager''s Page'!$B$11,'Manager''s Page'!$B$14,0)</f>
        <v>5000</v>
      </c>
      <c r="I348" s="17" cm="1">
        <f t="array" ref="I348">_xlfn.IFS(H348&lt;Constant!$A$3,0,H348&lt;Constant!$A$4,375,H348&lt;Constant!$A$5,275,H348&lt;Constant!$A$6,175)</f>
        <v>275</v>
      </c>
      <c r="J348" s="16">
        <f t="shared" si="43"/>
        <v>781</v>
      </c>
      <c r="K348" s="16">
        <f t="shared" si="44"/>
        <v>0</v>
      </c>
      <c r="L348" s="14">
        <f t="shared" si="45"/>
        <v>781</v>
      </c>
      <c r="M348" s="44">
        <f t="shared" si="46"/>
        <v>0</v>
      </c>
    </row>
    <row r="349" spans="1:13" x14ac:dyDescent="0.25">
      <c r="A349" s="14">
        <f>'Manager''s Page'!H349</f>
        <v>347</v>
      </c>
      <c r="B349" s="15">
        <f t="shared" si="47"/>
        <v>5000</v>
      </c>
      <c r="C349" s="16">
        <f>'Manager''s Page'!I349</f>
        <v>385</v>
      </c>
      <c r="D349" s="16">
        <f t="shared" si="40"/>
        <v>385</v>
      </c>
      <c r="E349" s="16">
        <f t="shared" si="41"/>
        <v>0</v>
      </c>
      <c r="F349" s="16">
        <f t="shared" si="42"/>
        <v>4615</v>
      </c>
      <c r="G349" s="17">
        <f>F349*(Constant!$B$11/365)</f>
        <v>338.85479452054796</v>
      </c>
      <c r="H349" s="16">
        <f>IF(F349&lt;'Manager''s Page'!$B$11,'Manager''s Page'!$B$14,0)</f>
        <v>0</v>
      </c>
      <c r="I349" s="17" cm="1">
        <f t="array" ref="I349">_xlfn.IFS(H349&lt;Constant!$A$3,0,H349&lt;Constant!$A$4,375,H349&lt;Constant!$A$5,275,H349&lt;Constant!$A$6,175)</f>
        <v>0</v>
      </c>
      <c r="J349" s="16">
        <f t="shared" si="43"/>
        <v>385</v>
      </c>
      <c r="K349" s="16">
        <f t="shared" si="44"/>
        <v>4615</v>
      </c>
      <c r="L349" s="14">
        <f t="shared" si="45"/>
        <v>385</v>
      </c>
      <c r="M349" s="44">
        <f t="shared" si="46"/>
        <v>4615</v>
      </c>
    </row>
    <row r="350" spans="1:13" x14ac:dyDescent="0.25">
      <c r="A350" s="14">
        <f>'Manager''s Page'!H350</f>
        <v>348</v>
      </c>
      <c r="B350" s="15">
        <f t="shared" si="47"/>
        <v>4615</v>
      </c>
      <c r="C350" s="16">
        <f>'Manager''s Page'!I350</f>
        <v>341</v>
      </c>
      <c r="D350" s="16">
        <f t="shared" si="40"/>
        <v>341</v>
      </c>
      <c r="E350" s="16">
        <f t="shared" si="41"/>
        <v>0</v>
      </c>
      <c r="F350" s="16">
        <f t="shared" si="42"/>
        <v>4274</v>
      </c>
      <c r="G350" s="17">
        <f>F350*(Constant!$B$11/365)</f>
        <v>313.81698630136987</v>
      </c>
      <c r="H350" s="16">
        <f>IF(F350&lt;'Manager''s Page'!$B$11,'Manager''s Page'!$B$14,0)</f>
        <v>0</v>
      </c>
      <c r="I350" s="17" cm="1">
        <f t="array" ref="I350">_xlfn.IFS(H350&lt;Constant!$A$3,0,H350&lt;Constant!$A$4,375,H350&lt;Constant!$A$5,275,H350&lt;Constant!$A$6,175)</f>
        <v>0</v>
      </c>
      <c r="J350" s="16">
        <f t="shared" si="43"/>
        <v>341</v>
      </c>
      <c r="K350" s="16">
        <f t="shared" si="44"/>
        <v>4274</v>
      </c>
      <c r="L350" s="14">
        <f t="shared" si="45"/>
        <v>341</v>
      </c>
      <c r="M350" s="44">
        <f t="shared" si="46"/>
        <v>4274</v>
      </c>
    </row>
    <row r="351" spans="1:13" x14ac:dyDescent="0.25">
      <c r="A351" s="14">
        <f>'Manager''s Page'!H351</f>
        <v>349</v>
      </c>
      <c r="B351" s="15">
        <f t="shared" si="47"/>
        <v>4274</v>
      </c>
      <c r="C351" s="16">
        <f>'Manager''s Page'!I351</f>
        <v>681</v>
      </c>
      <c r="D351" s="16">
        <f t="shared" si="40"/>
        <v>681</v>
      </c>
      <c r="E351" s="16">
        <f t="shared" si="41"/>
        <v>0</v>
      </c>
      <c r="F351" s="16">
        <f t="shared" si="42"/>
        <v>3593</v>
      </c>
      <c r="G351" s="17">
        <f>F351*(Constant!$B$11/365)</f>
        <v>263.81479452054799</v>
      </c>
      <c r="H351" s="16">
        <f>IF(F351&lt;'Manager''s Page'!$B$11,'Manager''s Page'!$B$14,0)</f>
        <v>0</v>
      </c>
      <c r="I351" s="17" cm="1">
        <f t="array" ref="I351">_xlfn.IFS(H351&lt;Constant!$A$3,0,H351&lt;Constant!$A$4,375,H351&lt;Constant!$A$5,275,H351&lt;Constant!$A$6,175)</f>
        <v>0</v>
      </c>
      <c r="J351" s="16">
        <f t="shared" si="43"/>
        <v>681</v>
      </c>
      <c r="K351" s="16">
        <f t="shared" si="44"/>
        <v>3593</v>
      </c>
      <c r="L351" s="14">
        <f t="shared" si="45"/>
        <v>681</v>
      </c>
      <c r="M351" s="44">
        <f t="shared" si="46"/>
        <v>3593</v>
      </c>
    </row>
    <row r="352" spans="1:13" x14ac:dyDescent="0.25">
      <c r="A352" s="14">
        <f>'Manager''s Page'!H352</f>
        <v>350</v>
      </c>
      <c r="B352" s="15">
        <f t="shared" si="47"/>
        <v>3593</v>
      </c>
      <c r="C352" s="16">
        <f>'Manager''s Page'!I352</f>
        <v>904</v>
      </c>
      <c r="D352" s="16">
        <f t="shared" si="40"/>
        <v>904</v>
      </c>
      <c r="E352" s="16">
        <f t="shared" si="41"/>
        <v>0</v>
      </c>
      <c r="F352" s="16">
        <f t="shared" si="42"/>
        <v>2689</v>
      </c>
      <c r="G352" s="17">
        <f>F352*(Constant!$B$11/365)</f>
        <v>197.43890410958906</v>
      </c>
      <c r="H352" s="16">
        <f>IF(F352&lt;'Manager''s Page'!$B$11,'Manager''s Page'!$B$14,0)</f>
        <v>0</v>
      </c>
      <c r="I352" s="17" cm="1">
        <f t="array" ref="I352">_xlfn.IFS(H352&lt;Constant!$A$3,0,H352&lt;Constant!$A$4,375,H352&lt;Constant!$A$5,275,H352&lt;Constant!$A$6,175)</f>
        <v>0</v>
      </c>
      <c r="J352" s="16">
        <f t="shared" si="43"/>
        <v>904</v>
      </c>
      <c r="K352" s="16">
        <f t="shared" si="44"/>
        <v>2689</v>
      </c>
      <c r="L352" s="14">
        <f t="shared" si="45"/>
        <v>904</v>
      </c>
      <c r="M352" s="44">
        <f t="shared" si="46"/>
        <v>2689</v>
      </c>
    </row>
    <row r="353" spans="1:13" x14ac:dyDescent="0.25">
      <c r="A353" s="14">
        <f>'Manager''s Page'!H353</f>
        <v>351</v>
      </c>
      <c r="B353" s="15">
        <f t="shared" si="47"/>
        <v>2689</v>
      </c>
      <c r="C353" s="16">
        <f>'Manager''s Page'!I353</f>
        <v>570</v>
      </c>
      <c r="D353" s="16">
        <f t="shared" si="40"/>
        <v>570</v>
      </c>
      <c r="E353" s="16">
        <f t="shared" si="41"/>
        <v>0</v>
      </c>
      <c r="F353" s="16">
        <f t="shared" si="42"/>
        <v>2119</v>
      </c>
      <c r="G353" s="17">
        <f>F353*(Constant!$B$11/365)</f>
        <v>155.58684931506852</v>
      </c>
      <c r="H353" s="16">
        <f>IF(F353&lt;'Manager''s Page'!$B$11,'Manager''s Page'!$B$14,0)</f>
        <v>0</v>
      </c>
      <c r="I353" s="17" cm="1">
        <f t="array" ref="I353">_xlfn.IFS(H353&lt;Constant!$A$3,0,H353&lt;Constant!$A$4,375,H353&lt;Constant!$A$5,275,H353&lt;Constant!$A$6,175)</f>
        <v>0</v>
      </c>
      <c r="J353" s="16">
        <f t="shared" si="43"/>
        <v>570</v>
      </c>
      <c r="K353" s="16">
        <f t="shared" si="44"/>
        <v>2119</v>
      </c>
      <c r="L353" s="14">
        <f t="shared" si="45"/>
        <v>570</v>
      </c>
      <c r="M353" s="44">
        <f t="shared" si="46"/>
        <v>2119</v>
      </c>
    </row>
    <row r="354" spans="1:13" x14ac:dyDescent="0.25">
      <c r="A354" s="14">
        <f>'Manager''s Page'!H354</f>
        <v>352</v>
      </c>
      <c r="B354" s="15">
        <f t="shared" si="47"/>
        <v>2119</v>
      </c>
      <c r="C354" s="16">
        <f>'Manager''s Page'!I354</f>
        <v>738</v>
      </c>
      <c r="D354" s="16">
        <f t="shared" si="40"/>
        <v>738</v>
      </c>
      <c r="E354" s="16">
        <f t="shared" si="41"/>
        <v>0</v>
      </c>
      <c r="F354" s="16">
        <f t="shared" si="42"/>
        <v>1381</v>
      </c>
      <c r="G354" s="17">
        <f>F354*(Constant!$B$11/365)</f>
        <v>101.39945205479452</v>
      </c>
      <c r="H354" s="16">
        <f>IF(F354&lt;'Manager''s Page'!$B$11,'Manager''s Page'!$B$14,0)</f>
        <v>0</v>
      </c>
      <c r="I354" s="17" cm="1">
        <f t="array" ref="I354">_xlfn.IFS(H354&lt;Constant!$A$3,0,H354&lt;Constant!$A$4,375,H354&lt;Constant!$A$5,275,H354&lt;Constant!$A$6,175)</f>
        <v>0</v>
      </c>
      <c r="J354" s="16">
        <f t="shared" si="43"/>
        <v>738</v>
      </c>
      <c r="K354" s="16">
        <f t="shared" si="44"/>
        <v>1381</v>
      </c>
      <c r="L354" s="14">
        <f t="shared" si="45"/>
        <v>738</v>
      </c>
      <c r="M354" s="44">
        <f t="shared" si="46"/>
        <v>1381</v>
      </c>
    </row>
    <row r="355" spans="1:13" x14ac:dyDescent="0.25">
      <c r="A355" s="14">
        <f>'Manager''s Page'!H355</f>
        <v>353</v>
      </c>
      <c r="B355" s="15">
        <f t="shared" si="47"/>
        <v>1381</v>
      </c>
      <c r="C355" s="16">
        <f>'Manager''s Page'!I355</f>
        <v>362</v>
      </c>
      <c r="D355" s="16">
        <f t="shared" si="40"/>
        <v>362</v>
      </c>
      <c r="E355" s="16">
        <f t="shared" si="41"/>
        <v>0</v>
      </c>
      <c r="F355" s="16">
        <f t="shared" si="42"/>
        <v>1019</v>
      </c>
      <c r="G355" s="17">
        <f>F355*(Constant!$B$11/365)</f>
        <v>74.819726027397266</v>
      </c>
      <c r="H355" s="16">
        <f>IF(F355&lt;'Manager''s Page'!$B$11,'Manager''s Page'!$B$14,0)</f>
        <v>0</v>
      </c>
      <c r="I355" s="17" cm="1">
        <f t="array" ref="I355">_xlfn.IFS(H355&lt;Constant!$A$3,0,H355&lt;Constant!$A$4,375,H355&lt;Constant!$A$5,275,H355&lt;Constant!$A$6,175)</f>
        <v>0</v>
      </c>
      <c r="J355" s="16">
        <f t="shared" si="43"/>
        <v>362</v>
      </c>
      <c r="K355" s="16">
        <f t="shared" si="44"/>
        <v>1019</v>
      </c>
      <c r="L355" s="14">
        <f t="shared" si="45"/>
        <v>362</v>
      </c>
      <c r="M355" s="44">
        <f t="shared" si="46"/>
        <v>1019</v>
      </c>
    </row>
    <row r="356" spans="1:13" x14ac:dyDescent="0.25">
      <c r="A356" s="14">
        <f>'Manager''s Page'!H356</f>
        <v>354</v>
      </c>
      <c r="B356" s="15">
        <f t="shared" si="47"/>
        <v>1019</v>
      </c>
      <c r="C356" s="16">
        <f>'Manager''s Page'!I356</f>
        <v>766</v>
      </c>
      <c r="D356" s="16">
        <f t="shared" si="40"/>
        <v>766</v>
      </c>
      <c r="E356" s="16">
        <f t="shared" si="41"/>
        <v>0</v>
      </c>
      <c r="F356" s="16">
        <f t="shared" si="42"/>
        <v>253</v>
      </c>
      <c r="G356" s="17">
        <f>F356*(Constant!$B$11/365)</f>
        <v>18.576438356164385</v>
      </c>
      <c r="H356" s="16">
        <f>IF(F356&lt;'Manager''s Page'!$B$11,'Manager''s Page'!$B$14,0)</f>
        <v>5000</v>
      </c>
      <c r="I356" s="17" cm="1">
        <f t="array" ref="I356">_xlfn.IFS(H356&lt;Constant!$A$3,0,H356&lt;Constant!$A$4,375,H356&lt;Constant!$A$5,275,H356&lt;Constant!$A$6,175)</f>
        <v>275</v>
      </c>
      <c r="J356" s="16">
        <f t="shared" si="43"/>
        <v>766</v>
      </c>
      <c r="K356" s="16">
        <f t="shared" si="44"/>
        <v>253</v>
      </c>
      <c r="L356" s="14">
        <f t="shared" si="45"/>
        <v>766</v>
      </c>
      <c r="M356" s="44">
        <f t="shared" si="46"/>
        <v>253</v>
      </c>
    </row>
    <row r="357" spans="1:13" x14ac:dyDescent="0.25">
      <c r="A357" s="14">
        <f>'Manager''s Page'!H357</f>
        <v>355</v>
      </c>
      <c r="B357" s="15">
        <f t="shared" si="47"/>
        <v>5253</v>
      </c>
      <c r="C357" s="16">
        <f>'Manager''s Page'!I357</f>
        <v>825</v>
      </c>
      <c r="D357" s="16">
        <f t="shared" si="40"/>
        <v>825</v>
      </c>
      <c r="E357" s="16">
        <f t="shared" si="41"/>
        <v>0</v>
      </c>
      <c r="F357" s="16">
        <f t="shared" si="42"/>
        <v>4428</v>
      </c>
      <c r="G357" s="17">
        <f>F357*(Constant!$B$11/365)</f>
        <v>325.12438356164387</v>
      </c>
      <c r="H357" s="16">
        <f>IF(F357&lt;'Manager''s Page'!$B$11,'Manager''s Page'!$B$14,0)</f>
        <v>0</v>
      </c>
      <c r="I357" s="17" cm="1">
        <f t="array" ref="I357">_xlfn.IFS(H357&lt;Constant!$A$3,0,H357&lt;Constant!$A$4,375,H357&lt;Constant!$A$5,275,H357&lt;Constant!$A$6,175)</f>
        <v>0</v>
      </c>
      <c r="J357" s="16">
        <f t="shared" si="43"/>
        <v>825</v>
      </c>
      <c r="K357" s="16">
        <f t="shared" si="44"/>
        <v>4428</v>
      </c>
      <c r="L357" s="14">
        <f t="shared" si="45"/>
        <v>825</v>
      </c>
      <c r="M357" s="44">
        <f t="shared" si="46"/>
        <v>4428</v>
      </c>
    </row>
    <row r="358" spans="1:13" x14ac:dyDescent="0.25">
      <c r="A358" s="14">
        <f>'Manager''s Page'!H358</f>
        <v>356</v>
      </c>
      <c r="B358" s="15">
        <f t="shared" si="47"/>
        <v>4428</v>
      </c>
      <c r="C358" s="16">
        <f>'Manager''s Page'!I358</f>
        <v>545</v>
      </c>
      <c r="D358" s="16">
        <f t="shared" si="40"/>
        <v>545</v>
      </c>
      <c r="E358" s="16">
        <f t="shared" si="41"/>
        <v>0</v>
      </c>
      <c r="F358" s="16">
        <f t="shared" si="42"/>
        <v>3883</v>
      </c>
      <c r="G358" s="17">
        <f>F358*(Constant!$B$11/365)</f>
        <v>285.1079452054795</v>
      </c>
      <c r="H358" s="16">
        <f>IF(F358&lt;'Manager''s Page'!$B$11,'Manager''s Page'!$B$14,0)</f>
        <v>0</v>
      </c>
      <c r="I358" s="17" cm="1">
        <f t="array" ref="I358">_xlfn.IFS(H358&lt;Constant!$A$3,0,H358&lt;Constant!$A$4,375,H358&lt;Constant!$A$5,275,H358&lt;Constant!$A$6,175)</f>
        <v>0</v>
      </c>
      <c r="J358" s="16">
        <f t="shared" si="43"/>
        <v>545</v>
      </c>
      <c r="K358" s="16">
        <f t="shared" si="44"/>
        <v>3883</v>
      </c>
      <c r="L358" s="14">
        <f t="shared" si="45"/>
        <v>545</v>
      </c>
      <c r="M358" s="44">
        <f t="shared" si="46"/>
        <v>3883</v>
      </c>
    </row>
    <row r="359" spans="1:13" x14ac:dyDescent="0.25">
      <c r="A359" s="14">
        <f>'Manager''s Page'!H359</f>
        <v>357</v>
      </c>
      <c r="B359" s="15">
        <f t="shared" si="47"/>
        <v>3883</v>
      </c>
      <c r="C359" s="16">
        <f>'Manager''s Page'!I359</f>
        <v>499</v>
      </c>
      <c r="D359" s="16">
        <f t="shared" si="40"/>
        <v>499</v>
      </c>
      <c r="E359" s="16">
        <f t="shared" si="41"/>
        <v>0</v>
      </c>
      <c r="F359" s="16">
        <f t="shared" si="42"/>
        <v>3384</v>
      </c>
      <c r="G359" s="17">
        <f>F359*(Constant!$B$11/365)</f>
        <v>248.46904109589045</v>
      </c>
      <c r="H359" s="16">
        <f>IF(F359&lt;'Manager''s Page'!$B$11,'Manager''s Page'!$B$14,0)</f>
        <v>0</v>
      </c>
      <c r="I359" s="17" cm="1">
        <f t="array" ref="I359">_xlfn.IFS(H359&lt;Constant!$A$3,0,H359&lt;Constant!$A$4,375,H359&lt;Constant!$A$5,275,H359&lt;Constant!$A$6,175)</f>
        <v>0</v>
      </c>
      <c r="J359" s="16">
        <f t="shared" si="43"/>
        <v>499</v>
      </c>
      <c r="K359" s="16">
        <f t="shared" si="44"/>
        <v>3384</v>
      </c>
      <c r="L359" s="14">
        <f t="shared" si="45"/>
        <v>499</v>
      </c>
      <c r="M359" s="44">
        <f t="shared" si="46"/>
        <v>3384</v>
      </c>
    </row>
    <row r="360" spans="1:13" x14ac:dyDescent="0.25">
      <c r="A360" s="14">
        <f>'Manager''s Page'!H360</f>
        <v>358</v>
      </c>
      <c r="B360" s="15">
        <f t="shared" si="47"/>
        <v>3384</v>
      </c>
      <c r="C360" s="16">
        <f>'Manager''s Page'!I360</f>
        <v>829</v>
      </c>
      <c r="D360" s="16">
        <f t="shared" si="40"/>
        <v>829</v>
      </c>
      <c r="E360" s="16">
        <f t="shared" si="41"/>
        <v>0</v>
      </c>
      <c r="F360" s="16">
        <f t="shared" si="42"/>
        <v>2555</v>
      </c>
      <c r="G360" s="17">
        <f>F360*(Constant!$B$11/365)</f>
        <v>187.60000000000002</v>
      </c>
      <c r="H360" s="16">
        <f>IF(F360&lt;'Manager''s Page'!$B$11,'Manager''s Page'!$B$14,0)</f>
        <v>0</v>
      </c>
      <c r="I360" s="17" cm="1">
        <f t="array" ref="I360">_xlfn.IFS(H360&lt;Constant!$A$3,0,H360&lt;Constant!$A$4,375,H360&lt;Constant!$A$5,275,H360&lt;Constant!$A$6,175)</f>
        <v>0</v>
      </c>
      <c r="J360" s="16">
        <f t="shared" si="43"/>
        <v>829</v>
      </c>
      <c r="K360" s="16">
        <f t="shared" si="44"/>
        <v>2555</v>
      </c>
      <c r="L360" s="14">
        <f t="shared" si="45"/>
        <v>829</v>
      </c>
      <c r="M360" s="44">
        <f t="shared" si="46"/>
        <v>2555</v>
      </c>
    </row>
    <row r="361" spans="1:13" x14ac:dyDescent="0.25">
      <c r="A361" s="14">
        <f>'Manager''s Page'!H361</f>
        <v>359</v>
      </c>
      <c r="B361" s="15">
        <f t="shared" si="47"/>
        <v>2555</v>
      </c>
      <c r="C361" s="16">
        <f>'Manager''s Page'!I361</f>
        <v>971</v>
      </c>
      <c r="D361" s="16">
        <f t="shared" si="40"/>
        <v>971</v>
      </c>
      <c r="E361" s="16">
        <f t="shared" si="41"/>
        <v>0</v>
      </c>
      <c r="F361" s="16">
        <f t="shared" si="42"/>
        <v>1584</v>
      </c>
      <c r="G361" s="17">
        <f>F361*(Constant!$B$11/365)</f>
        <v>116.30465753424659</v>
      </c>
      <c r="H361" s="16">
        <f>IF(F361&lt;'Manager''s Page'!$B$11,'Manager''s Page'!$B$14,0)</f>
        <v>0</v>
      </c>
      <c r="I361" s="17" cm="1">
        <f t="array" ref="I361">_xlfn.IFS(H361&lt;Constant!$A$3,0,H361&lt;Constant!$A$4,375,H361&lt;Constant!$A$5,275,H361&lt;Constant!$A$6,175)</f>
        <v>0</v>
      </c>
      <c r="J361" s="16">
        <f t="shared" si="43"/>
        <v>971</v>
      </c>
      <c r="K361" s="16">
        <f t="shared" si="44"/>
        <v>1584</v>
      </c>
      <c r="L361" s="14">
        <f t="shared" si="45"/>
        <v>971</v>
      </c>
      <c r="M361" s="44">
        <f t="shared" si="46"/>
        <v>1584</v>
      </c>
    </row>
    <row r="362" spans="1:13" x14ac:dyDescent="0.25">
      <c r="A362" s="14">
        <f>'Manager''s Page'!H362</f>
        <v>360</v>
      </c>
      <c r="B362" s="15">
        <f t="shared" si="47"/>
        <v>1584</v>
      </c>
      <c r="C362" s="16">
        <f>'Manager''s Page'!I362</f>
        <v>736</v>
      </c>
      <c r="D362" s="16">
        <f t="shared" si="40"/>
        <v>736</v>
      </c>
      <c r="E362" s="16">
        <f t="shared" si="41"/>
        <v>0</v>
      </c>
      <c r="F362" s="16">
        <f t="shared" si="42"/>
        <v>848</v>
      </c>
      <c r="G362" s="17">
        <f>F362*(Constant!$B$11/365)</f>
        <v>62.264109589041098</v>
      </c>
      <c r="H362" s="16">
        <f>IF(F362&lt;'Manager''s Page'!$B$11,'Manager''s Page'!$B$14,0)</f>
        <v>0</v>
      </c>
      <c r="I362" s="17" cm="1">
        <f t="array" ref="I362">_xlfn.IFS(H362&lt;Constant!$A$3,0,H362&lt;Constant!$A$4,375,H362&lt;Constant!$A$5,275,H362&lt;Constant!$A$6,175)</f>
        <v>0</v>
      </c>
      <c r="J362" s="16">
        <f t="shared" si="43"/>
        <v>736</v>
      </c>
      <c r="K362" s="16">
        <f t="shared" si="44"/>
        <v>848</v>
      </c>
      <c r="L362" s="14">
        <f t="shared" si="45"/>
        <v>736</v>
      </c>
      <c r="M362" s="44">
        <f t="shared" si="46"/>
        <v>848</v>
      </c>
    </row>
    <row r="363" spans="1:13" x14ac:dyDescent="0.25">
      <c r="A363" s="14">
        <f>'Manager''s Page'!H363</f>
        <v>361</v>
      </c>
      <c r="B363" s="15">
        <f t="shared" si="47"/>
        <v>848</v>
      </c>
      <c r="C363" s="16">
        <f>'Manager''s Page'!I363</f>
        <v>893</v>
      </c>
      <c r="D363" s="16">
        <f t="shared" si="40"/>
        <v>848</v>
      </c>
      <c r="E363" s="16">
        <f t="shared" si="41"/>
        <v>45</v>
      </c>
      <c r="F363" s="16">
        <f t="shared" si="42"/>
        <v>0</v>
      </c>
      <c r="G363" s="17">
        <f>F363*(Constant!$B$11/365)</f>
        <v>0</v>
      </c>
      <c r="H363" s="16">
        <f>IF(F363&lt;'Manager''s Page'!$B$11,'Manager''s Page'!$B$14,0)</f>
        <v>5000</v>
      </c>
      <c r="I363" s="17" cm="1">
        <f t="array" ref="I363">_xlfn.IFS(H363&lt;Constant!$A$3,0,H363&lt;Constant!$A$4,375,H363&lt;Constant!$A$5,275,H363&lt;Constant!$A$6,175)</f>
        <v>275</v>
      </c>
      <c r="J363" s="16">
        <f t="shared" si="43"/>
        <v>893</v>
      </c>
      <c r="K363" s="16">
        <f t="shared" si="44"/>
        <v>0</v>
      </c>
      <c r="L363" s="14">
        <f t="shared" si="45"/>
        <v>893</v>
      </c>
      <c r="M363" s="44">
        <f t="shared" si="46"/>
        <v>0</v>
      </c>
    </row>
    <row r="364" spans="1:13" x14ac:dyDescent="0.25">
      <c r="A364" s="14">
        <f>'Manager''s Page'!H364</f>
        <v>362</v>
      </c>
      <c r="B364" s="15">
        <f t="shared" si="47"/>
        <v>5000</v>
      </c>
      <c r="C364" s="16">
        <f>'Manager''s Page'!I364</f>
        <v>785</v>
      </c>
      <c r="D364" s="16">
        <f t="shared" si="40"/>
        <v>785</v>
      </c>
      <c r="E364" s="16">
        <f t="shared" si="41"/>
        <v>0</v>
      </c>
      <c r="F364" s="16">
        <f t="shared" si="42"/>
        <v>4215</v>
      </c>
      <c r="G364" s="17">
        <f>F364*(Constant!$B$11/365)</f>
        <v>309.48493150684936</v>
      </c>
      <c r="H364" s="16">
        <f>IF(F364&lt;'Manager''s Page'!$B$11,'Manager''s Page'!$B$14,0)</f>
        <v>0</v>
      </c>
      <c r="I364" s="17" cm="1">
        <f t="array" ref="I364">_xlfn.IFS(H364&lt;Constant!$A$3,0,H364&lt;Constant!$A$4,375,H364&lt;Constant!$A$5,275,H364&lt;Constant!$A$6,175)</f>
        <v>0</v>
      </c>
      <c r="J364" s="16">
        <f t="shared" si="43"/>
        <v>785</v>
      </c>
      <c r="K364" s="16">
        <f t="shared" si="44"/>
        <v>4215</v>
      </c>
      <c r="L364" s="14">
        <f t="shared" si="45"/>
        <v>785</v>
      </c>
      <c r="M364" s="44">
        <f t="shared" si="46"/>
        <v>4215</v>
      </c>
    </row>
    <row r="365" spans="1:13" x14ac:dyDescent="0.25">
      <c r="A365" s="14">
        <f>'Manager''s Page'!H365</f>
        <v>363</v>
      </c>
      <c r="B365" s="15">
        <f t="shared" si="47"/>
        <v>4215</v>
      </c>
      <c r="C365" s="16">
        <f>'Manager''s Page'!I365</f>
        <v>777</v>
      </c>
      <c r="D365" s="16">
        <f t="shared" si="40"/>
        <v>777</v>
      </c>
      <c r="E365" s="16">
        <f t="shared" si="41"/>
        <v>0</v>
      </c>
      <c r="F365" s="16">
        <f t="shared" si="42"/>
        <v>3438</v>
      </c>
      <c r="G365" s="17">
        <f>F365*(Constant!$B$11/365)</f>
        <v>252.43397260273974</v>
      </c>
      <c r="H365" s="16">
        <f>IF(F365&lt;'Manager''s Page'!$B$11,'Manager''s Page'!$B$14,0)</f>
        <v>0</v>
      </c>
      <c r="I365" s="17" cm="1">
        <f t="array" ref="I365">_xlfn.IFS(H365&lt;Constant!$A$3,0,H365&lt;Constant!$A$4,375,H365&lt;Constant!$A$5,275,H365&lt;Constant!$A$6,175)</f>
        <v>0</v>
      </c>
      <c r="J365" s="16">
        <f t="shared" si="43"/>
        <v>777</v>
      </c>
      <c r="K365" s="16">
        <f t="shared" si="44"/>
        <v>3438</v>
      </c>
      <c r="L365" s="14">
        <f t="shared" si="45"/>
        <v>777</v>
      </c>
      <c r="M365" s="44">
        <f t="shared" si="46"/>
        <v>3438</v>
      </c>
    </row>
    <row r="366" spans="1:13" x14ac:dyDescent="0.25">
      <c r="A366" s="14">
        <f>'Manager''s Page'!H366</f>
        <v>364</v>
      </c>
      <c r="B366" s="15">
        <f t="shared" si="47"/>
        <v>3438</v>
      </c>
      <c r="C366" s="16">
        <f>'Manager''s Page'!I366</f>
        <v>208</v>
      </c>
      <c r="D366" s="16">
        <f t="shared" si="40"/>
        <v>208</v>
      </c>
      <c r="E366" s="16">
        <f t="shared" si="41"/>
        <v>0</v>
      </c>
      <c r="F366" s="16">
        <f t="shared" si="42"/>
        <v>3230</v>
      </c>
      <c r="G366" s="17">
        <f>F366*(Constant!$B$11/365)</f>
        <v>237.16164383561645</v>
      </c>
      <c r="H366" s="16">
        <f>IF(F366&lt;'Manager''s Page'!$B$11,'Manager''s Page'!$B$14,0)</f>
        <v>0</v>
      </c>
      <c r="I366" s="17" cm="1">
        <f t="array" ref="I366">_xlfn.IFS(H366&lt;Constant!$A$3,0,H366&lt;Constant!$A$4,375,H366&lt;Constant!$A$5,275,H366&lt;Constant!$A$6,175)</f>
        <v>0</v>
      </c>
      <c r="J366" s="16">
        <f t="shared" si="43"/>
        <v>208</v>
      </c>
      <c r="K366" s="16">
        <f t="shared" si="44"/>
        <v>3230</v>
      </c>
      <c r="L366" s="14">
        <f t="shared" si="45"/>
        <v>208</v>
      </c>
      <c r="M366" s="44">
        <f t="shared" si="46"/>
        <v>3230</v>
      </c>
    </row>
    <row r="367" spans="1:13" ht="16.5" thickBot="1" x14ac:dyDescent="0.3">
      <c r="A367" s="18">
        <f>'Manager''s Page'!H367</f>
        <v>365</v>
      </c>
      <c r="B367" s="15">
        <f t="shared" si="47"/>
        <v>3230</v>
      </c>
      <c r="C367" s="19">
        <f>'Manager''s Page'!I367</f>
        <v>374</v>
      </c>
      <c r="D367" s="19">
        <f t="shared" si="40"/>
        <v>374</v>
      </c>
      <c r="E367" s="16">
        <f t="shared" si="41"/>
        <v>0</v>
      </c>
      <c r="F367" s="16">
        <f t="shared" si="42"/>
        <v>2856</v>
      </c>
      <c r="G367" s="17">
        <f>F367*(Constant!$B$11/365)</f>
        <v>209.70082191780824</v>
      </c>
      <c r="H367" s="16">
        <f>IF(F367&lt;'Manager''s Page'!$B$11,'Manager''s Page'!$B$14,0)</f>
        <v>0</v>
      </c>
      <c r="I367" s="17" cm="1">
        <f t="array" ref="I367">_xlfn.IFS(H367&lt;Constant!$A$3,0,H367&lt;Constant!$A$4,375,H367&lt;Constant!$A$5,275,H367&lt;Constant!$A$6,175)</f>
        <v>0</v>
      </c>
      <c r="J367" s="19">
        <f t="shared" si="43"/>
        <v>374</v>
      </c>
      <c r="K367" s="19">
        <f t="shared" si="44"/>
        <v>2856</v>
      </c>
      <c r="L367" s="18">
        <f t="shared" si="45"/>
        <v>374</v>
      </c>
      <c r="M367" s="45">
        <f t="shared" si="46"/>
        <v>2856</v>
      </c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H2"/>
    <mergeCell ref="I1:I2"/>
    <mergeCell ref="J1:J2"/>
    <mergeCell ref="K1:K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366"/>
  <sheetViews>
    <sheetView topLeftCell="A342" zoomScale="73" workbookViewId="0">
      <selection activeCell="D2" sqref="D2:D366"/>
    </sheetView>
  </sheetViews>
  <sheetFormatPr defaultColWidth="8.7109375" defaultRowHeight="15.75" x14ac:dyDescent="0.25"/>
  <cols>
    <col min="1" max="1" width="9.140625" style="40" customWidth="1"/>
    <col min="2" max="4" width="18.5703125" style="13" bestFit="1" customWidth="1"/>
    <col min="5" max="16384" width="8.7109375" style="13"/>
  </cols>
  <sheetData>
    <row r="1" spans="1:4" ht="16.5" thickBot="1" x14ac:dyDescent="0.3">
      <c r="A1" s="41" t="s">
        <v>0</v>
      </c>
      <c r="B1" s="42" t="s">
        <v>3</v>
      </c>
      <c r="C1" s="42" t="s">
        <v>2</v>
      </c>
      <c r="D1" s="43" t="s">
        <v>1</v>
      </c>
    </row>
    <row r="2" spans="1:4" x14ac:dyDescent="0.25">
      <c r="A2" s="34">
        <v>1</v>
      </c>
      <c r="B2" s="35">
        <v>493</v>
      </c>
      <c r="C2" s="35">
        <v>466</v>
      </c>
      <c r="D2" s="36">
        <v>482</v>
      </c>
    </row>
    <row r="3" spans="1:4" x14ac:dyDescent="0.25">
      <c r="A3" s="34">
        <v>2</v>
      </c>
      <c r="B3" s="35">
        <v>540</v>
      </c>
      <c r="C3" s="35">
        <v>569</v>
      </c>
      <c r="D3" s="36">
        <v>903</v>
      </c>
    </row>
    <row r="4" spans="1:4" x14ac:dyDescent="0.25">
      <c r="A4" s="34">
        <v>3</v>
      </c>
      <c r="B4" s="35">
        <v>345</v>
      </c>
      <c r="C4" s="35">
        <v>436</v>
      </c>
      <c r="D4" s="36">
        <v>248</v>
      </c>
    </row>
    <row r="5" spans="1:4" x14ac:dyDescent="0.25">
      <c r="A5" s="34">
        <v>4</v>
      </c>
      <c r="B5" s="35">
        <v>556</v>
      </c>
      <c r="C5" s="35">
        <v>147</v>
      </c>
      <c r="D5" s="36">
        <v>484</v>
      </c>
    </row>
    <row r="6" spans="1:4" x14ac:dyDescent="0.25">
      <c r="A6" s="34">
        <v>5</v>
      </c>
      <c r="B6" s="35">
        <v>474</v>
      </c>
      <c r="C6" s="35">
        <v>686</v>
      </c>
      <c r="D6" s="36">
        <v>851</v>
      </c>
    </row>
    <row r="7" spans="1:4" x14ac:dyDescent="0.25">
      <c r="A7" s="34">
        <v>6</v>
      </c>
      <c r="B7" s="35">
        <v>416</v>
      </c>
      <c r="C7" s="35">
        <v>725</v>
      </c>
      <c r="D7" s="36">
        <v>660</v>
      </c>
    </row>
    <row r="8" spans="1:4" x14ac:dyDescent="0.25">
      <c r="A8" s="34">
        <v>7</v>
      </c>
      <c r="B8" s="35">
        <v>295</v>
      </c>
      <c r="C8" s="35">
        <v>522</v>
      </c>
      <c r="D8" s="36">
        <v>784</v>
      </c>
    </row>
    <row r="9" spans="1:4" x14ac:dyDescent="0.25">
      <c r="A9" s="34">
        <v>8</v>
      </c>
      <c r="B9" s="35">
        <v>324</v>
      </c>
      <c r="C9" s="35">
        <v>129</v>
      </c>
      <c r="D9" s="36">
        <v>317</v>
      </c>
    </row>
    <row r="10" spans="1:4" x14ac:dyDescent="0.25">
      <c r="A10" s="34">
        <v>9</v>
      </c>
      <c r="B10" s="35">
        <v>610</v>
      </c>
      <c r="C10" s="35">
        <v>129</v>
      </c>
      <c r="D10" s="36">
        <v>526</v>
      </c>
    </row>
    <row r="11" spans="1:4" x14ac:dyDescent="0.25">
      <c r="A11" s="34">
        <v>10</v>
      </c>
      <c r="B11" s="35">
        <v>548</v>
      </c>
      <c r="C11" s="35">
        <v>466</v>
      </c>
      <c r="D11" s="36">
        <v>736</v>
      </c>
    </row>
    <row r="12" spans="1:4" x14ac:dyDescent="0.25">
      <c r="A12" s="34">
        <v>11</v>
      </c>
      <c r="B12" s="35">
        <v>467</v>
      </c>
      <c r="C12" s="35">
        <v>476</v>
      </c>
      <c r="D12" s="36">
        <v>970</v>
      </c>
    </row>
    <row r="13" spans="1:4" x14ac:dyDescent="0.25">
      <c r="A13" s="34">
        <v>12</v>
      </c>
      <c r="B13" s="35">
        <v>729</v>
      </c>
      <c r="C13" s="35">
        <v>721</v>
      </c>
      <c r="D13" s="36">
        <v>397</v>
      </c>
    </row>
    <row r="14" spans="1:4" x14ac:dyDescent="0.25">
      <c r="A14" s="34">
        <v>13</v>
      </c>
      <c r="B14" s="35">
        <v>632</v>
      </c>
      <c r="C14" s="35">
        <v>130</v>
      </c>
      <c r="D14" s="36">
        <v>313</v>
      </c>
    </row>
    <row r="15" spans="1:4" x14ac:dyDescent="0.25">
      <c r="A15" s="34">
        <v>14</v>
      </c>
      <c r="B15" s="35">
        <v>542</v>
      </c>
      <c r="C15" s="35">
        <v>604</v>
      </c>
      <c r="D15" s="36">
        <v>948</v>
      </c>
    </row>
    <row r="16" spans="1:4" x14ac:dyDescent="0.25">
      <c r="A16" s="34">
        <v>15</v>
      </c>
      <c r="B16" s="35">
        <v>315</v>
      </c>
      <c r="C16" s="35">
        <v>299</v>
      </c>
      <c r="D16" s="36">
        <v>203</v>
      </c>
    </row>
    <row r="17" spans="1:4" x14ac:dyDescent="0.25">
      <c r="A17" s="34">
        <v>16</v>
      </c>
      <c r="B17" s="35">
        <v>516</v>
      </c>
      <c r="C17" s="35">
        <v>526</v>
      </c>
      <c r="D17" s="36">
        <v>641</v>
      </c>
    </row>
    <row r="18" spans="1:4" x14ac:dyDescent="0.25">
      <c r="A18" s="34">
        <v>17</v>
      </c>
      <c r="B18" s="35">
        <v>272</v>
      </c>
      <c r="C18" s="35">
        <v>841</v>
      </c>
      <c r="D18" s="36">
        <v>306</v>
      </c>
    </row>
    <row r="19" spans="1:4" x14ac:dyDescent="0.25">
      <c r="A19" s="34">
        <v>18</v>
      </c>
      <c r="B19" s="35">
        <v>478</v>
      </c>
      <c r="C19" s="35">
        <v>355</v>
      </c>
      <c r="D19" s="36">
        <v>643</v>
      </c>
    </row>
    <row r="20" spans="1:4" x14ac:dyDescent="0.25">
      <c r="A20" s="34">
        <v>19</v>
      </c>
      <c r="B20" s="35">
        <v>378</v>
      </c>
      <c r="C20" s="35">
        <v>274</v>
      </c>
      <c r="D20" s="36">
        <v>758</v>
      </c>
    </row>
    <row r="21" spans="1:4" x14ac:dyDescent="0.25">
      <c r="A21" s="34">
        <v>20</v>
      </c>
      <c r="B21" s="35">
        <v>342</v>
      </c>
      <c r="C21" s="35">
        <v>220</v>
      </c>
      <c r="D21" s="36">
        <v>422</v>
      </c>
    </row>
    <row r="22" spans="1:4" x14ac:dyDescent="0.25">
      <c r="A22" s="34">
        <v>21</v>
      </c>
      <c r="B22" s="35">
        <v>837</v>
      </c>
      <c r="C22" s="35">
        <v>176</v>
      </c>
      <c r="D22" s="36">
        <v>277</v>
      </c>
    </row>
    <row r="23" spans="1:4" x14ac:dyDescent="0.25">
      <c r="A23" s="34">
        <v>22</v>
      </c>
      <c r="B23" s="35">
        <v>338</v>
      </c>
      <c r="C23" s="35">
        <v>152</v>
      </c>
      <c r="D23" s="36">
        <v>583</v>
      </c>
    </row>
    <row r="24" spans="1:4" x14ac:dyDescent="0.25">
      <c r="A24" s="34">
        <v>23</v>
      </c>
      <c r="B24" s="35">
        <v>770</v>
      </c>
      <c r="C24" s="35">
        <v>250</v>
      </c>
      <c r="D24" s="36">
        <v>418</v>
      </c>
    </row>
    <row r="25" spans="1:4" x14ac:dyDescent="0.25">
      <c r="A25" s="34">
        <v>24</v>
      </c>
      <c r="B25" s="35">
        <v>654</v>
      </c>
      <c r="C25" s="35">
        <v>842</v>
      </c>
      <c r="D25" s="36">
        <v>628</v>
      </c>
    </row>
    <row r="26" spans="1:4" x14ac:dyDescent="0.25">
      <c r="A26" s="34">
        <v>25</v>
      </c>
      <c r="B26" s="35">
        <v>553</v>
      </c>
      <c r="C26" s="35">
        <v>225</v>
      </c>
      <c r="D26" s="36">
        <v>761</v>
      </c>
    </row>
    <row r="27" spans="1:4" x14ac:dyDescent="0.25">
      <c r="A27" s="34">
        <v>26</v>
      </c>
      <c r="B27" s="35">
        <v>563</v>
      </c>
      <c r="C27" s="35">
        <v>649</v>
      </c>
      <c r="D27" s="36">
        <v>364</v>
      </c>
    </row>
    <row r="28" spans="1:4" x14ac:dyDescent="0.25">
      <c r="A28" s="34">
        <v>27</v>
      </c>
      <c r="B28" s="35">
        <v>449</v>
      </c>
      <c r="C28" s="35">
        <v>466</v>
      </c>
      <c r="D28" s="36">
        <v>486</v>
      </c>
    </row>
    <row r="29" spans="1:4" x14ac:dyDescent="0.25">
      <c r="A29" s="34">
        <v>28</v>
      </c>
      <c r="B29" s="35">
        <v>712</v>
      </c>
      <c r="C29" s="35">
        <v>881</v>
      </c>
      <c r="D29" s="36">
        <v>964</v>
      </c>
    </row>
    <row r="30" spans="1:4" x14ac:dyDescent="0.25">
      <c r="A30" s="34">
        <v>29</v>
      </c>
      <c r="B30" s="35">
        <v>461</v>
      </c>
      <c r="C30" s="35">
        <v>843</v>
      </c>
      <c r="D30" s="36">
        <v>284</v>
      </c>
    </row>
    <row r="31" spans="1:4" x14ac:dyDescent="0.25">
      <c r="A31" s="34">
        <v>30</v>
      </c>
      <c r="B31" s="35">
        <v>511</v>
      </c>
      <c r="C31" s="35">
        <v>468</v>
      </c>
      <c r="D31" s="36">
        <v>787</v>
      </c>
    </row>
    <row r="32" spans="1:4" x14ac:dyDescent="0.25">
      <c r="A32" s="34">
        <v>31</v>
      </c>
      <c r="B32" s="35">
        <v>392</v>
      </c>
      <c r="C32" s="35">
        <v>115</v>
      </c>
      <c r="D32" s="36">
        <v>249</v>
      </c>
    </row>
    <row r="33" spans="1:4" x14ac:dyDescent="0.25">
      <c r="A33" s="34">
        <v>32</v>
      </c>
      <c r="B33" s="35">
        <v>634</v>
      </c>
      <c r="C33" s="35">
        <v>352</v>
      </c>
      <c r="D33" s="36">
        <v>609</v>
      </c>
    </row>
    <row r="34" spans="1:4" x14ac:dyDescent="0.25">
      <c r="A34" s="34">
        <v>33</v>
      </c>
      <c r="B34" s="35">
        <v>274</v>
      </c>
      <c r="C34" s="35">
        <v>655</v>
      </c>
      <c r="D34" s="36">
        <v>644</v>
      </c>
    </row>
    <row r="35" spans="1:4" x14ac:dyDescent="0.25">
      <c r="A35" s="34">
        <v>34</v>
      </c>
      <c r="B35" s="35">
        <v>438</v>
      </c>
      <c r="C35" s="35">
        <v>603</v>
      </c>
      <c r="D35" s="36">
        <v>954</v>
      </c>
    </row>
    <row r="36" spans="1:4" x14ac:dyDescent="0.25">
      <c r="A36" s="34">
        <v>35</v>
      </c>
      <c r="B36" s="35">
        <v>522</v>
      </c>
      <c r="C36" s="35">
        <v>538</v>
      </c>
      <c r="D36" s="36">
        <v>854</v>
      </c>
    </row>
    <row r="37" spans="1:4" x14ac:dyDescent="0.25">
      <c r="A37" s="34">
        <v>36</v>
      </c>
      <c r="B37" s="35">
        <v>675</v>
      </c>
      <c r="C37" s="35">
        <v>487</v>
      </c>
      <c r="D37" s="36">
        <v>334</v>
      </c>
    </row>
    <row r="38" spans="1:4" x14ac:dyDescent="0.25">
      <c r="A38" s="34">
        <v>37</v>
      </c>
      <c r="B38" s="35">
        <v>709</v>
      </c>
      <c r="C38" s="35">
        <v>399</v>
      </c>
      <c r="D38" s="36">
        <v>349</v>
      </c>
    </row>
    <row r="39" spans="1:4" x14ac:dyDescent="0.25">
      <c r="A39" s="34">
        <v>38</v>
      </c>
      <c r="B39" s="35">
        <v>773</v>
      </c>
      <c r="C39" s="35">
        <v>306</v>
      </c>
      <c r="D39" s="36">
        <v>597</v>
      </c>
    </row>
    <row r="40" spans="1:4" x14ac:dyDescent="0.25">
      <c r="A40" s="34">
        <v>39</v>
      </c>
      <c r="B40" s="35">
        <v>517</v>
      </c>
      <c r="C40" s="35">
        <v>423</v>
      </c>
      <c r="D40" s="36">
        <v>318</v>
      </c>
    </row>
    <row r="41" spans="1:4" x14ac:dyDescent="0.25">
      <c r="A41" s="34">
        <v>40</v>
      </c>
      <c r="B41" s="35">
        <v>243</v>
      </c>
      <c r="C41" s="35">
        <v>117</v>
      </c>
      <c r="D41" s="36">
        <v>622</v>
      </c>
    </row>
    <row r="42" spans="1:4" x14ac:dyDescent="0.25">
      <c r="A42" s="34">
        <v>41</v>
      </c>
      <c r="B42" s="35">
        <v>377</v>
      </c>
      <c r="C42" s="35">
        <v>481</v>
      </c>
      <c r="D42" s="36">
        <v>575</v>
      </c>
    </row>
    <row r="43" spans="1:4" x14ac:dyDescent="0.25">
      <c r="A43" s="34">
        <v>42</v>
      </c>
      <c r="B43" s="35">
        <v>734</v>
      </c>
      <c r="C43" s="35">
        <v>679</v>
      </c>
      <c r="D43" s="36">
        <v>671</v>
      </c>
    </row>
    <row r="44" spans="1:4" x14ac:dyDescent="0.25">
      <c r="A44" s="34">
        <v>43</v>
      </c>
      <c r="B44" s="35">
        <v>388</v>
      </c>
      <c r="C44" s="35">
        <v>206</v>
      </c>
      <c r="D44" s="36">
        <v>824</v>
      </c>
    </row>
    <row r="45" spans="1:4" x14ac:dyDescent="0.25">
      <c r="A45" s="34">
        <v>44</v>
      </c>
      <c r="B45" s="35">
        <v>492</v>
      </c>
      <c r="C45" s="35">
        <v>702</v>
      </c>
      <c r="D45" s="36">
        <v>488</v>
      </c>
    </row>
    <row r="46" spans="1:4" x14ac:dyDescent="0.25">
      <c r="A46" s="34">
        <v>45</v>
      </c>
      <c r="B46" s="35">
        <v>345</v>
      </c>
      <c r="C46" s="35">
        <v>118</v>
      </c>
      <c r="D46" s="36">
        <v>229</v>
      </c>
    </row>
    <row r="47" spans="1:4" x14ac:dyDescent="0.25">
      <c r="A47" s="34">
        <v>46</v>
      </c>
      <c r="B47" s="35">
        <v>476</v>
      </c>
      <c r="C47" s="35">
        <v>328</v>
      </c>
      <c r="D47" s="36">
        <v>234</v>
      </c>
    </row>
    <row r="48" spans="1:4" x14ac:dyDescent="0.25">
      <c r="A48" s="34">
        <v>47</v>
      </c>
      <c r="B48" s="35">
        <v>565</v>
      </c>
      <c r="C48" s="35">
        <v>786</v>
      </c>
      <c r="D48" s="36">
        <v>569</v>
      </c>
    </row>
    <row r="49" spans="1:4" x14ac:dyDescent="0.25">
      <c r="A49" s="34">
        <v>48</v>
      </c>
      <c r="B49" s="35">
        <v>595</v>
      </c>
      <c r="C49" s="35">
        <v>354</v>
      </c>
      <c r="D49" s="36">
        <v>969</v>
      </c>
    </row>
    <row r="50" spans="1:4" x14ac:dyDescent="0.25">
      <c r="A50" s="34">
        <v>49</v>
      </c>
      <c r="B50" s="35">
        <v>585</v>
      </c>
      <c r="C50" s="35">
        <v>666</v>
      </c>
      <c r="D50" s="36">
        <v>539</v>
      </c>
    </row>
    <row r="51" spans="1:4" x14ac:dyDescent="0.25">
      <c r="A51" s="34">
        <v>50</v>
      </c>
      <c r="B51" s="35">
        <v>181</v>
      </c>
      <c r="C51" s="35">
        <v>279</v>
      </c>
      <c r="D51" s="36">
        <v>584</v>
      </c>
    </row>
    <row r="52" spans="1:4" x14ac:dyDescent="0.25">
      <c r="A52" s="34">
        <v>51</v>
      </c>
      <c r="B52" s="35">
        <v>461</v>
      </c>
      <c r="C52" s="35">
        <v>803</v>
      </c>
      <c r="D52" s="36">
        <v>278</v>
      </c>
    </row>
    <row r="53" spans="1:4" x14ac:dyDescent="0.25">
      <c r="A53" s="34">
        <v>52</v>
      </c>
      <c r="B53" s="35">
        <v>581</v>
      </c>
      <c r="C53" s="35">
        <v>141</v>
      </c>
      <c r="D53" s="36">
        <v>828</v>
      </c>
    </row>
    <row r="54" spans="1:4" x14ac:dyDescent="0.25">
      <c r="A54" s="34">
        <v>53</v>
      </c>
      <c r="B54" s="35">
        <v>486</v>
      </c>
      <c r="C54" s="35">
        <v>142</v>
      </c>
      <c r="D54" s="36">
        <v>669</v>
      </c>
    </row>
    <row r="55" spans="1:4" x14ac:dyDescent="0.25">
      <c r="A55" s="34">
        <v>54</v>
      </c>
      <c r="B55" s="35">
        <v>516</v>
      </c>
      <c r="C55" s="35">
        <v>579</v>
      </c>
      <c r="D55" s="36">
        <v>816</v>
      </c>
    </row>
    <row r="56" spans="1:4" x14ac:dyDescent="0.25">
      <c r="A56" s="34">
        <v>55</v>
      </c>
      <c r="B56" s="35">
        <v>779</v>
      </c>
      <c r="C56" s="35">
        <v>265</v>
      </c>
      <c r="D56" s="36">
        <v>856</v>
      </c>
    </row>
    <row r="57" spans="1:4" x14ac:dyDescent="0.25">
      <c r="A57" s="34">
        <v>56</v>
      </c>
      <c r="B57" s="35">
        <v>753</v>
      </c>
      <c r="C57" s="35">
        <v>526</v>
      </c>
      <c r="D57" s="36">
        <v>754</v>
      </c>
    </row>
    <row r="58" spans="1:4" x14ac:dyDescent="0.25">
      <c r="A58" s="34">
        <v>57</v>
      </c>
      <c r="B58" s="35">
        <v>600</v>
      </c>
      <c r="C58" s="35">
        <v>162</v>
      </c>
      <c r="D58" s="36">
        <v>253</v>
      </c>
    </row>
    <row r="59" spans="1:4" x14ac:dyDescent="0.25">
      <c r="A59" s="34">
        <v>58</v>
      </c>
      <c r="B59" s="35">
        <v>484</v>
      </c>
      <c r="C59" s="35">
        <v>232</v>
      </c>
      <c r="D59" s="36">
        <v>679</v>
      </c>
    </row>
    <row r="60" spans="1:4" x14ac:dyDescent="0.25">
      <c r="A60" s="34">
        <v>59</v>
      </c>
      <c r="B60" s="35">
        <v>618</v>
      </c>
      <c r="C60" s="35">
        <v>267</v>
      </c>
      <c r="D60" s="36">
        <v>767</v>
      </c>
    </row>
    <row r="61" spans="1:4" x14ac:dyDescent="0.25">
      <c r="A61" s="34">
        <v>60</v>
      </c>
      <c r="B61" s="35">
        <v>772</v>
      </c>
      <c r="C61" s="35">
        <v>255</v>
      </c>
      <c r="D61" s="36">
        <v>696</v>
      </c>
    </row>
    <row r="62" spans="1:4" x14ac:dyDescent="0.25">
      <c r="A62" s="34">
        <v>61</v>
      </c>
      <c r="B62" s="35">
        <v>392</v>
      </c>
      <c r="C62" s="35">
        <v>161</v>
      </c>
      <c r="D62" s="36">
        <v>535</v>
      </c>
    </row>
    <row r="63" spans="1:4" x14ac:dyDescent="0.25">
      <c r="A63" s="34">
        <v>62</v>
      </c>
      <c r="B63" s="35">
        <v>361</v>
      </c>
      <c r="C63" s="35">
        <v>569</v>
      </c>
      <c r="D63" s="36">
        <v>959</v>
      </c>
    </row>
    <row r="64" spans="1:4" x14ac:dyDescent="0.25">
      <c r="A64" s="34">
        <v>63</v>
      </c>
      <c r="B64" s="35">
        <v>299</v>
      </c>
      <c r="C64" s="35">
        <v>563</v>
      </c>
      <c r="D64" s="36">
        <v>837</v>
      </c>
    </row>
    <row r="65" spans="1:4" x14ac:dyDescent="0.25">
      <c r="A65" s="34">
        <v>64</v>
      </c>
      <c r="B65" s="35">
        <v>432</v>
      </c>
      <c r="C65" s="35">
        <v>860</v>
      </c>
      <c r="D65" s="36">
        <v>466</v>
      </c>
    </row>
    <row r="66" spans="1:4" x14ac:dyDescent="0.25">
      <c r="A66" s="34">
        <v>65</v>
      </c>
      <c r="B66" s="35">
        <v>379</v>
      </c>
      <c r="C66" s="35">
        <v>892</v>
      </c>
      <c r="D66" s="36">
        <v>519</v>
      </c>
    </row>
    <row r="67" spans="1:4" x14ac:dyDescent="0.25">
      <c r="A67" s="34">
        <v>66</v>
      </c>
      <c r="B67" s="35">
        <v>554</v>
      </c>
      <c r="C67" s="35">
        <v>837</v>
      </c>
      <c r="D67" s="36">
        <v>502</v>
      </c>
    </row>
    <row r="68" spans="1:4" x14ac:dyDescent="0.25">
      <c r="A68" s="34">
        <v>67</v>
      </c>
      <c r="B68" s="35">
        <v>504</v>
      </c>
      <c r="C68" s="35">
        <v>532</v>
      </c>
      <c r="D68" s="36">
        <v>973</v>
      </c>
    </row>
    <row r="69" spans="1:4" x14ac:dyDescent="0.25">
      <c r="A69" s="34">
        <v>68</v>
      </c>
      <c r="B69" s="35">
        <v>454</v>
      </c>
      <c r="C69" s="35">
        <v>488</v>
      </c>
      <c r="D69" s="36">
        <v>500</v>
      </c>
    </row>
    <row r="70" spans="1:4" x14ac:dyDescent="0.25">
      <c r="A70" s="34">
        <v>69</v>
      </c>
      <c r="B70" s="35">
        <v>619</v>
      </c>
      <c r="C70" s="35">
        <v>312</v>
      </c>
      <c r="D70" s="36">
        <v>252</v>
      </c>
    </row>
    <row r="71" spans="1:4" x14ac:dyDescent="0.25">
      <c r="A71" s="34">
        <v>70</v>
      </c>
      <c r="B71" s="35">
        <v>454</v>
      </c>
      <c r="C71" s="35">
        <v>390</v>
      </c>
      <c r="D71" s="36">
        <v>566</v>
      </c>
    </row>
    <row r="72" spans="1:4" x14ac:dyDescent="0.25">
      <c r="A72" s="34">
        <v>71</v>
      </c>
      <c r="B72" s="35">
        <v>442</v>
      </c>
      <c r="C72" s="35">
        <v>299</v>
      </c>
      <c r="D72" s="36">
        <v>508</v>
      </c>
    </row>
    <row r="73" spans="1:4" x14ac:dyDescent="0.25">
      <c r="A73" s="34">
        <v>72</v>
      </c>
      <c r="B73" s="35">
        <v>458</v>
      </c>
      <c r="C73" s="35">
        <v>278</v>
      </c>
      <c r="D73" s="36">
        <v>797</v>
      </c>
    </row>
    <row r="74" spans="1:4" x14ac:dyDescent="0.25">
      <c r="A74" s="34">
        <v>73</v>
      </c>
      <c r="B74" s="35">
        <v>550</v>
      </c>
      <c r="C74" s="35">
        <v>868</v>
      </c>
      <c r="D74" s="36">
        <v>800</v>
      </c>
    </row>
    <row r="75" spans="1:4" x14ac:dyDescent="0.25">
      <c r="A75" s="34">
        <v>74</v>
      </c>
      <c r="B75" s="35">
        <v>569</v>
      </c>
      <c r="C75" s="35">
        <v>444</v>
      </c>
      <c r="D75" s="36">
        <v>407</v>
      </c>
    </row>
    <row r="76" spans="1:4" x14ac:dyDescent="0.25">
      <c r="A76" s="34">
        <v>75</v>
      </c>
      <c r="B76" s="35">
        <v>599</v>
      </c>
      <c r="C76" s="35">
        <v>518</v>
      </c>
      <c r="D76" s="36">
        <v>570</v>
      </c>
    </row>
    <row r="77" spans="1:4" x14ac:dyDescent="0.25">
      <c r="A77" s="34">
        <v>76</v>
      </c>
      <c r="B77" s="35">
        <v>582</v>
      </c>
      <c r="C77" s="35">
        <v>158</v>
      </c>
      <c r="D77" s="36">
        <v>298</v>
      </c>
    </row>
    <row r="78" spans="1:4" x14ac:dyDescent="0.25">
      <c r="A78" s="34">
        <v>77</v>
      </c>
      <c r="B78" s="35">
        <v>489</v>
      </c>
      <c r="C78" s="35">
        <v>539</v>
      </c>
      <c r="D78" s="36">
        <v>476</v>
      </c>
    </row>
    <row r="79" spans="1:4" x14ac:dyDescent="0.25">
      <c r="A79" s="34">
        <v>78</v>
      </c>
      <c r="B79" s="35">
        <v>758</v>
      </c>
      <c r="C79" s="35">
        <v>418</v>
      </c>
      <c r="D79" s="36">
        <v>349</v>
      </c>
    </row>
    <row r="80" spans="1:4" x14ac:dyDescent="0.25">
      <c r="A80" s="34">
        <v>79</v>
      </c>
      <c r="B80" s="35">
        <v>477</v>
      </c>
      <c r="C80" s="35">
        <v>420</v>
      </c>
      <c r="D80" s="36">
        <v>856</v>
      </c>
    </row>
    <row r="81" spans="1:4" x14ac:dyDescent="0.25">
      <c r="A81" s="34">
        <v>80</v>
      </c>
      <c r="B81" s="35">
        <v>706</v>
      </c>
      <c r="C81" s="35">
        <v>789</v>
      </c>
      <c r="D81" s="36">
        <v>233</v>
      </c>
    </row>
    <row r="82" spans="1:4" x14ac:dyDescent="0.25">
      <c r="A82" s="34">
        <v>81</v>
      </c>
      <c r="B82" s="35">
        <v>561</v>
      </c>
      <c r="C82" s="35">
        <v>722</v>
      </c>
      <c r="D82" s="36">
        <v>180</v>
      </c>
    </row>
    <row r="83" spans="1:4" x14ac:dyDescent="0.25">
      <c r="A83" s="34">
        <v>82</v>
      </c>
      <c r="B83" s="35">
        <v>658</v>
      </c>
      <c r="C83" s="35">
        <v>650</v>
      </c>
      <c r="D83" s="36">
        <v>825</v>
      </c>
    </row>
    <row r="84" spans="1:4" x14ac:dyDescent="0.25">
      <c r="A84" s="34">
        <v>83</v>
      </c>
      <c r="B84" s="35">
        <v>239</v>
      </c>
      <c r="C84" s="35">
        <v>191</v>
      </c>
      <c r="D84" s="36">
        <v>823</v>
      </c>
    </row>
    <row r="85" spans="1:4" x14ac:dyDescent="0.25">
      <c r="A85" s="34">
        <v>84</v>
      </c>
      <c r="B85" s="35">
        <v>515</v>
      </c>
      <c r="C85" s="35">
        <v>360</v>
      </c>
      <c r="D85" s="36">
        <v>337</v>
      </c>
    </row>
    <row r="86" spans="1:4" x14ac:dyDescent="0.25">
      <c r="A86" s="34">
        <v>85</v>
      </c>
      <c r="B86" s="35">
        <v>632</v>
      </c>
      <c r="C86" s="35">
        <v>785</v>
      </c>
      <c r="D86" s="36">
        <v>468</v>
      </c>
    </row>
    <row r="87" spans="1:4" x14ac:dyDescent="0.25">
      <c r="A87" s="34">
        <v>86</v>
      </c>
      <c r="B87" s="35">
        <v>716</v>
      </c>
      <c r="C87" s="35">
        <v>123</v>
      </c>
      <c r="D87" s="36">
        <v>215</v>
      </c>
    </row>
    <row r="88" spans="1:4" x14ac:dyDescent="0.25">
      <c r="A88" s="34">
        <v>87</v>
      </c>
      <c r="B88" s="35">
        <v>577</v>
      </c>
      <c r="C88" s="35">
        <v>428</v>
      </c>
      <c r="D88" s="36">
        <v>191</v>
      </c>
    </row>
    <row r="89" spans="1:4" x14ac:dyDescent="0.25">
      <c r="A89" s="34">
        <v>88</v>
      </c>
      <c r="B89" s="35">
        <v>483</v>
      </c>
      <c r="C89" s="35">
        <v>228</v>
      </c>
      <c r="D89" s="36">
        <v>777</v>
      </c>
    </row>
    <row r="90" spans="1:4" x14ac:dyDescent="0.25">
      <c r="A90" s="34">
        <v>89</v>
      </c>
      <c r="B90" s="35">
        <v>452</v>
      </c>
      <c r="C90" s="35">
        <v>837</v>
      </c>
      <c r="D90" s="36">
        <v>198</v>
      </c>
    </row>
    <row r="91" spans="1:4" x14ac:dyDescent="0.25">
      <c r="A91" s="34">
        <v>90</v>
      </c>
      <c r="B91" s="35">
        <v>508</v>
      </c>
      <c r="C91" s="35">
        <v>550</v>
      </c>
      <c r="D91" s="36">
        <v>359</v>
      </c>
    </row>
    <row r="92" spans="1:4" x14ac:dyDescent="0.25">
      <c r="A92" s="34">
        <v>91</v>
      </c>
      <c r="B92" s="35">
        <v>631</v>
      </c>
      <c r="C92" s="35">
        <v>631</v>
      </c>
      <c r="D92" s="36">
        <v>486</v>
      </c>
    </row>
    <row r="93" spans="1:4" x14ac:dyDescent="0.25">
      <c r="A93" s="34">
        <v>92</v>
      </c>
      <c r="B93" s="35">
        <v>326</v>
      </c>
      <c r="C93" s="35">
        <v>529</v>
      </c>
      <c r="D93" s="36">
        <v>602</v>
      </c>
    </row>
    <row r="94" spans="1:4" x14ac:dyDescent="0.25">
      <c r="A94" s="34">
        <v>93</v>
      </c>
      <c r="B94" s="35">
        <v>533</v>
      </c>
      <c r="C94" s="35">
        <v>610</v>
      </c>
      <c r="D94" s="36">
        <v>705</v>
      </c>
    </row>
    <row r="95" spans="1:4" x14ac:dyDescent="0.25">
      <c r="A95" s="34">
        <v>94</v>
      </c>
      <c r="B95" s="35">
        <v>345</v>
      </c>
      <c r="C95" s="35">
        <v>586</v>
      </c>
      <c r="D95" s="36">
        <v>705</v>
      </c>
    </row>
    <row r="96" spans="1:4" x14ac:dyDescent="0.25">
      <c r="A96" s="34">
        <v>95</v>
      </c>
      <c r="B96" s="35">
        <v>892</v>
      </c>
      <c r="C96" s="35">
        <v>541</v>
      </c>
      <c r="D96" s="36">
        <v>784</v>
      </c>
    </row>
    <row r="97" spans="1:4" x14ac:dyDescent="0.25">
      <c r="A97" s="34">
        <v>96</v>
      </c>
      <c r="B97" s="35">
        <v>590</v>
      </c>
      <c r="C97" s="35">
        <v>822</v>
      </c>
      <c r="D97" s="36">
        <v>613</v>
      </c>
    </row>
    <row r="98" spans="1:4" x14ac:dyDescent="0.25">
      <c r="A98" s="34">
        <v>97</v>
      </c>
      <c r="B98" s="35">
        <v>571</v>
      </c>
      <c r="C98" s="35">
        <v>217</v>
      </c>
      <c r="D98" s="36">
        <v>390</v>
      </c>
    </row>
    <row r="99" spans="1:4" x14ac:dyDescent="0.25">
      <c r="A99" s="34">
        <v>98</v>
      </c>
      <c r="B99" s="35">
        <v>392</v>
      </c>
      <c r="C99" s="35">
        <v>438</v>
      </c>
      <c r="D99" s="36">
        <v>301</v>
      </c>
    </row>
    <row r="100" spans="1:4" x14ac:dyDescent="0.25">
      <c r="A100" s="34">
        <v>99</v>
      </c>
      <c r="B100" s="35">
        <v>393</v>
      </c>
      <c r="C100" s="35">
        <v>209</v>
      </c>
      <c r="D100" s="36">
        <v>302</v>
      </c>
    </row>
    <row r="101" spans="1:4" x14ac:dyDescent="0.25">
      <c r="A101" s="34">
        <v>100</v>
      </c>
      <c r="B101" s="35">
        <v>442</v>
      </c>
      <c r="C101" s="35">
        <v>327</v>
      </c>
      <c r="D101" s="36">
        <v>516</v>
      </c>
    </row>
    <row r="102" spans="1:4" x14ac:dyDescent="0.25">
      <c r="A102" s="34">
        <v>101</v>
      </c>
      <c r="B102" s="35">
        <v>371</v>
      </c>
      <c r="C102" s="35">
        <v>701</v>
      </c>
      <c r="D102" s="36">
        <v>750</v>
      </c>
    </row>
    <row r="103" spans="1:4" x14ac:dyDescent="0.25">
      <c r="A103" s="34">
        <v>102</v>
      </c>
      <c r="B103" s="35">
        <v>368</v>
      </c>
      <c r="C103" s="35">
        <v>369</v>
      </c>
      <c r="D103" s="36">
        <v>857</v>
      </c>
    </row>
    <row r="104" spans="1:4" x14ac:dyDescent="0.25">
      <c r="A104" s="34">
        <v>103</v>
      </c>
      <c r="B104" s="35">
        <v>829</v>
      </c>
      <c r="C104" s="35">
        <v>512</v>
      </c>
      <c r="D104" s="36">
        <v>928</v>
      </c>
    </row>
    <row r="105" spans="1:4" x14ac:dyDescent="0.25">
      <c r="A105" s="34">
        <v>104</v>
      </c>
      <c r="B105" s="35">
        <v>555</v>
      </c>
      <c r="C105" s="35">
        <v>877</v>
      </c>
      <c r="D105" s="36">
        <v>940</v>
      </c>
    </row>
    <row r="106" spans="1:4" x14ac:dyDescent="0.25">
      <c r="A106" s="34">
        <v>105</v>
      </c>
      <c r="B106" s="35">
        <v>553</v>
      </c>
      <c r="C106" s="35">
        <v>724</v>
      </c>
      <c r="D106" s="36">
        <v>849</v>
      </c>
    </row>
    <row r="107" spans="1:4" x14ac:dyDescent="0.25">
      <c r="A107" s="34">
        <v>106</v>
      </c>
      <c r="B107" s="35">
        <v>567</v>
      </c>
      <c r="C107" s="35">
        <v>741</v>
      </c>
      <c r="D107" s="36">
        <v>440</v>
      </c>
    </row>
    <row r="108" spans="1:4" x14ac:dyDescent="0.25">
      <c r="A108" s="34">
        <v>107</v>
      </c>
      <c r="B108" s="35">
        <v>748</v>
      </c>
      <c r="C108" s="35">
        <v>352</v>
      </c>
      <c r="D108" s="36">
        <v>339</v>
      </c>
    </row>
    <row r="109" spans="1:4" x14ac:dyDescent="0.25">
      <c r="A109" s="34">
        <v>108</v>
      </c>
      <c r="B109" s="35">
        <v>509</v>
      </c>
      <c r="C109" s="35">
        <v>854</v>
      </c>
      <c r="D109" s="36">
        <v>679</v>
      </c>
    </row>
    <row r="110" spans="1:4" x14ac:dyDescent="0.25">
      <c r="A110" s="34">
        <v>109</v>
      </c>
      <c r="B110" s="35">
        <v>364</v>
      </c>
      <c r="C110" s="35">
        <v>714</v>
      </c>
      <c r="D110" s="36">
        <v>299</v>
      </c>
    </row>
    <row r="111" spans="1:4" x14ac:dyDescent="0.25">
      <c r="A111" s="34">
        <v>110</v>
      </c>
      <c r="B111" s="35">
        <v>407</v>
      </c>
      <c r="C111" s="35">
        <v>569</v>
      </c>
      <c r="D111" s="36">
        <v>379</v>
      </c>
    </row>
    <row r="112" spans="1:4" x14ac:dyDescent="0.25">
      <c r="A112" s="34">
        <v>111</v>
      </c>
      <c r="B112" s="35">
        <v>391</v>
      </c>
      <c r="C112" s="35">
        <v>270</v>
      </c>
      <c r="D112" s="36">
        <v>373</v>
      </c>
    </row>
    <row r="113" spans="1:4" x14ac:dyDescent="0.25">
      <c r="A113" s="34">
        <v>112</v>
      </c>
      <c r="B113" s="35">
        <v>409</v>
      </c>
      <c r="C113" s="35">
        <v>236</v>
      </c>
      <c r="D113" s="36">
        <v>758</v>
      </c>
    </row>
    <row r="114" spans="1:4" x14ac:dyDescent="0.25">
      <c r="A114" s="34">
        <v>113</v>
      </c>
      <c r="B114" s="35">
        <v>519</v>
      </c>
      <c r="C114" s="35">
        <v>199</v>
      </c>
      <c r="D114" s="36">
        <v>246</v>
      </c>
    </row>
    <row r="115" spans="1:4" x14ac:dyDescent="0.25">
      <c r="A115" s="34">
        <v>114</v>
      </c>
      <c r="B115" s="35">
        <v>324</v>
      </c>
      <c r="C115" s="35">
        <v>211</v>
      </c>
      <c r="D115" s="36">
        <v>435</v>
      </c>
    </row>
    <row r="116" spans="1:4" x14ac:dyDescent="0.25">
      <c r="A116" s="34">
        <v>115</v>
      </c>
      <c r="B116" s="35">
        <v>433</v>
      </c>
      <c r="C116" s="35">
        <v>624</v>
      </c>
      <c r="D116" s="36">
        <v>797</v>
      </c>
    </row>
    <row r="117" spans="1:4" x14ac:dyDescent="0.25">
      <c r="A117" s="34">
        <v>116</v>
      </c>
      <c r="B117" s="35">
        <v>710</v>
      </c>
      <c r="C117" s="35">
        <v>320</v>
      </c>
      <c r="D117" s="36">
        <v>273</v>
      </c>
    </row>
    <row r="118" spans="1:4" x14ac:dyDescent="0.25">
      <c r="A118" s="34">
        <v>117</v>
      </c>
      <c r="B118" s="35">
        <v>586</v>
      </c>
      <c r="C118" s="35">
        <v>217</v>
      </c>
      <c r="D118" s="36">
        <v>344</v>
      </c>
    </row>
    <row r="119" spans="1:4" x14ac:dyDescent="0.25">
      <c r="A119" s="34">
        <v>118</v>
      </c>
      <c r="B119" s="35">
        <v>300</v>
      </c>
      <c r="C119" s="35">
        <v>726</v>
      </c>
      <c r="D119" s="36">
        <v>525</v>
      </c>
    </row>
    <row r="120" spans="1:4" x14ac:dyDescent="0.25">
      <c r="A120" s="34">
        <v>119</v>
      </c>
      <c r="B120" s="35">
        <v>535</v>
      </c>
      <c r="C120" s="35">
        <v>731</v>
      </c>
      <c r="D120" s="36">
        <v>408</v>
      </c>
    </row>
    <row r="121" spans="1:4" x14ac:dyDescent="0.25">
      <c r="A121" s="34">
        <v>120</v>
      </c>
      <c r="B121" s="35">
        <v>558</v>
      </c>
      <c r="C121" s="35">
        <v>518</v>
      </c>
      <c r="D121" s="36">
        <v>903</v>
      </c>
    </row>
    <row r="122" spans="1:4" x14ac:dyDescent="0.25">
      <c r="A122" s="34">
        <v>121</v>
      </c>
      <c r="B122" s="35">
        <v>603</v>
      </c>
      <c r="C122" s="35">
        <v>762</v>
      </c>
      <c r="D122" s="36">
        <v>705</v>
      </c>
    </row>
    <row r="123" spans="1:4" x14ac:dyDescent="0.25">
      <c r="A123" s="34">
        <v>122</v>
      </c>
      <c r="B123" s="35">
        <v>546</v>
      </c>
      <c r="C123" s="35">
        <v>722</v>
      </c>
      <c r="D123" s="36">
        <v>932</v>
      </c>
    </row>
    <row r="124" spans="1:4" x14ac:dyDescent="0.25">
      <c r="A124" s="34">
        <v>123</v>
      </c>
      <c r="B124" s="35">
        <v>808</v>
      </c>
      <c r="C124" s="35">
        <v>114</v>
      </c>
      <c r="D124" s="36">
        <v>784</v>
      </c>
    </row>
    <row r="125" spans="1:4" x14ac:dyDescent="0.25">
      <c r="A125" s="34">
        <v>124</v>
      </c>
      <c r="B125" s="35">
        <v>687</v>
      </c>
      <c r="C125" s="35">
        <v>350</v>
      </c>
      <c r="D125" s="36">
        <v>817</v>
      </c>
    </row>
    <row r="126" spans="1:4" x14ac:dyDescent="0.25">
      <c r="A126" s="34">
        <v>125</v>
      </c>
      <c r="B126" s="35">
        <v>486</v>
      </c>
      <c r="C126" s="35">
        <v>259</v>
      </c>
      <c r="D126" s="36">
        <v>477</v>
      </c>
    </row>
    <row r="127" spans="1:4" x14ac:dyDescent="0.25">
      <c r="A127" s="34">
        <v>126</v>
      </c>
      <c r="B127" s="35">
        <v>478</v>
      </c>
      <c r="C127" s="35">
        <v>177</v>
      </c>
      <c r="D127" s="36">
        <v>840</v>
      </c>
    </row>
    <row r="128" spans="1:4" x14ac:dyDescent="0.25">
      <c r="A128" s="34">
        <v>127</v>
      </c>
      <c r="B128" s="35">
        <v>510</v>
      </c>
      <c r="C128" s="35">
        <v>110</v>
      </c>
      <c r="D128" s="36">
        <v>531</v>
      </c>
    </row>
    <row r="129" spans="1:4" x14ac:dyDescent="0.25">
      <c r="A129" s="34">
        <v>128</v>
      </c>
      <c r="B129" s="35">
        <v>828</v>
      </c>
      <c r="C129" s="35">
        <v>850</v>
      </c>
      <c r="D129" s="36">
        <v>436</v>
      </c>
    </row>
    <row r="130" spans="1:4" x14ac:dyDescent="0.25">
      <c r="A130" s="34">
        <v>129</v>
      </c>
      <c r="B130" s="35">
        <v>469</v>
      </c>
      <c r="C130" s="35">
        <v>323</v>
      </c>
      <c r="D130" s="36">
        <v>261</v>
      </c>
    </row>
    <row r="131" spans="1:4" x14ac:dyDescent="0.25">
      <c r="A131" s="34">
        <v>130</v>
      </c>
      <c r="B131" s="35">
        <v>520</v>
      </c>
      <c r="C131" s="35">
        <v>334</v>
      </c>
      <c r="D131" s="36">
        <v>669</v>
      </c>
    </row>
    <row r="132" spans="1:4" x14ac:dyDescent="0.25">
      <c r="A132" s="34">
        <v>131</v>
      </c>
      <c r="B132" s="35">
        <v>328</v>
      </c>
      <c r="C132" s="35">
        <v>472</v>
      </c>
      <c r="D132" s="36">
        <v>654</v>
      </c>
    </row>
    <row r="133" spans="1:4" x14ac:dyDescent="0.25">
      <c r="A133" s="34">
        <v>132</v>
      </c>
      <c r="B133" s="35">
        <v>599</v>
      </c>
      <c r="C133" s="35">
        <v>713</v>
      </c>
      <c r="D133" s="36">
        <v>244</v>
      </c>
    </row>
    <row r="134" spans="1:4" x14ac:dyDescent="0.25">
      <c r="A134" s="34">
        <v>133</v>
      </c>
      <c r="B134" s="35">
        <v>542</v>
      </c>
      <c r="C134" s="35">
        <v>651</v>
      </c>
      <c r="D134" s="36">
        <v>646</v>
      </c>
    </row>
    <row r="135" spans="1:4" x14ac:dyDescent="0.25">
      <c r="A135" s="34">
        <v>134</v>
      </c>
      <c r="B135" s="35">
        <v>534</v>
      </c>
      <c r="C135" s="35">
        <v>430</v>
      </c>
      <c r="D135" s="36">
        <v>878</v>
      </c>
    </row>
    <row r="136" spans="1:4" x14ac:dyDescent="0.25">
      <c r="A136" s="34">
        <v>135</v>
      </c>
      <c r="B136" s="35">
        <v>417</v>
      </c>
      <c r="C136" s="35">
        <v>413</v>
      </c>
      <c r="D136" s="36">
        <v>714</v>
      </c>
    </row>
    <row r="137" spans="1:4" x14ac:dyDescent="0.25">
      <c r="A137" s="34">
        <v>136</v>
      </c>
      <c r="B137" s="35">
        <v>258</v>
      </c>
      <c r="C137" s="35">
        <v>838</v>
      </c>
      <c r="D137" s="36">
        <v>650</v>
      </c>
    </row>
    <row r="138" spans="1:4" x14ac:dyDescent="0.25">
      <c r="A138" s="34">
        <v>137</v>
      </c>
      <c r="B138" s="35">
        <v>675</v>
      </c>
      <c r="C138" s="35">
        <v>498</v>
      </c>
      <c r="D138" s="36">
        <v>703</v>
      </c>
    </row>
    <row r="139" spans="1:4" x14ac:dyDescent="0.25">
      <c r="A139" s="34">
        <v>138</v>
      </c>
      <c r="B139" s="35">
        <v>615</v>
      </c>
      <c r="C139" s="35">
        <v>127</v>
      </c>
      <c r="D139" s="36">
        <v>359</v>
      </c>
    </row>
    <row r="140" spans="1:4" x14ac:dyDescent="0.25">
      <c r="A140" s="34">
        <v>139</v>
      </c>
      <c r="B140" s="35">
        <v>711</v>
      </c>
      <c r="C140" s="35">
        <v>840</v>
      </c>
      <c r="D140" s="36">
        <v>313</v>
      </c>
    </row>
    <row r="141" spans="1:4" x14ac:dyDescent="0.25">
      <c r="A141" s="34">
        <v>140</v>
      </c>
      <c r="B141" s="35">
        <v>410</v>
      </c>
      <c r="C141" s="35">
        <v>362</v>
      </c>
      <c r="D141" s="36">
        <v>814</v>
      </c>
    </row>
    <row r="142" spans="1:4" x14ac:dyDescent="0.25">
      <c r="A142" s="34">
        <v>141</v>
      </c>
      <c r="B142" s="35">
        <v>428</v>
      </c>
      <c r="C142" s="35">
        <v>216</v>
      </c>
      <c r="D142" s="36">
        <v>947</v>
      </c>
    </row>
    <row r="143" spans="1:4" x14ac:dyDescent="0.25">
      <c r="A143" s="34">
        <v>142</v>
      </c>
      <c r="B143" s="35">
        <v>423</v>
      </c>
      <c r="C143" s="35">
        <v>883</v>
      </c>
      <c r="D143" s="36">
        <v>314</v>
      </c>
    </row>
    <row r="144" spans="1:4" x14ac:dyDescent="0.25">
      <c r="A144" s="34">
        <v>143</v>
      </c>
      <c r="B144" s="35">
        <v>535</v>
      </c>
      <c r="C144" s="35">
        <v>189</v>
      </c>
      <c r="D144" s="36">
        <v>178</v>
      </c>
    </row>
    <row r="145" spans="1:4" x14ac:dyDescent="0.25">
      <c r="A145" s="34">
        <v>144</v>
      </c>
      <c r="B145" s="35">
        <v>475</v>
      </c>
      <c r="C145" s="35">
        <v>350</v>
      </c>
      <c r="D145" s="36">
        <v>738</v>
      </c>
    </row>
    <row r="146" spans="1:4" x14ac:dyDescent="0.25">
      <c r="A146" s="34">
        <v>145</v>
      </c>
      <c r="B146" s="35">
        <v>482</v>
      </c>
      <c r="C146" s="35">
        <v>342</v>
      </c>
      <c r="D146" s="36">
        <v>521</v>
      </c>
    </row>
    <row r="147" spans="1:4" x14ac:dyDescent="0.25">
      <c r="A147" s="34">
        <v>146</v>
      </c>
      <c r="B147" s="35">
        <v>263</v>
      </c>
      <c r="C147" s="35">
        <v>538</v>
      </c>
      <c r="D147" s="36">
        <v>497</v>
      </c>
    </row>
    <row r="148" spans="1:4" x14ac:dyDescent="0.25">
      <c r="A148" s="34">
        <v>147</v>
      </c>
      <c r="B148" s="35">
        <v>466</v>
      </c>
      <c r="C148" s="35">
        <v>110</v>
      </c>
      <c r="D148" s="36">
        <v>451</v>
      </c>
    </row>
    <row r="149" spans="1:4" x14ac:dyDescent="0.25">
      <c r="A149" s="34">
        <v>148</v>
      </c>
      <c r="B149" s="35">
        <v>236</v>
      </c>
      <c r="C149" s="35">
        <v>383</v>
      </c>
      <c r="D149" s="36">
        <v>542</v>
      </c>
    </row>
    <row r="150" spans="1:4" x14ac:dyDescent="0.25">
      <c r="A150" s="34">
        <v>149</v>
      </c>
      <c r="B150" s="35">
        <v>401</v>
      </c>
      <c r="C150" s="35">
        <v>227</v>
      </c>
      <c r="D150" s="36">
        <v>943</v>
      </c>
    </row>
    <row r="151" spans="1:4" x14ac:dyDescent="0.25">
      <c r="A151" s="34">
        <v>150</v>
      </c>
      <c r="B151" s="35">
        <v>509</v>
      </c>
      <c r="C151" s="35">
        <v>564</v>
      </c>
      <c r="D151" s="36">
        <v>435</v>
      </c>
    </row>
    <row r="152" spans="1:4" x14ac:dyDescent="0.25">
      <c r="A152" s="34">
        <v>151</v>
      </c>
      <c r="B152" s="35">
        <v>423</v>
      </c>
      <c r="C152" s="35">
        <v>150</v>
      </c>
      <c r="D152" s="36">
        <v>377</v>
      </c>
    </row>
    <row r="153" spans="1:4" x14ac:dyDescent="0.25">
      <c r="A153" s="34">
        <v>152</v>
      </c>
      <c r="B153" s="35">
        <v>724</v>
      </c>
      <c r="C153" s="35">
        <v>333</v>
      </c>
      <c r="D153" s="36">
        <v>851</v>
      </c>
    </row>
    <row r="154" spans="1:4" x14ac:dyDescent="0.25">
      <c r="A154" s="34">
        <v>153</v>
      </c>
      <c r="B154" s="35">
        <v>580</v>
      </c>
      <c r="C154" s="35">
        <v>465</v>
      </c>
      <c r="D154" s="36">
        <v>370</v>
      </c>
    </row>
    <row r="155" spans="1:4" x14ac:dyDescent="0.25">
      <c r="A155" s="34">
        <v>154</v>
      </c>
      <c r="B155" s="35">
        <v>247</v>
      </c>
      <c r="C155" s="35">
        <v>199</v>
      </c>
      <c r="D155" s="36">
        <v>779</v>
      </c>
    </row>
    <row r="156" spans="1:4" x14ac:dyDescent="0.25">
      <c r="A156" s="34">
        <v>155</v>
      </c>
      <c r="B156" s="35">
        <v>642</v>
      </c>
      <c r="C156" s="35">
        <v>101</v>
      </c>
      <c r="D156" s="36">
        <v>372</v>
      </c>
    </row>
    <row r="157" spans="1:4" x14ac:dyDescent="0.25">
      <c r="A157" s="34">
        <v>156</v>
      </c>
      <c r="B157" s="35">
        <v>528</v>
      </c>
      <c r="C157" s="35">
        <v>896</v>
      </c>
      <c r="D157" s="36">
        <v>456</v>
      </c>
    </row>
    <row r="158" spans="1:4" x14ac:dyDescent="0.25">
      <c r="A158" s="34">
        <v>157</v>
      </c>
      <c r="B158" s="35">
        <v>596</v>
      </c>
      <c r="C158" s="35">
        <v>412</v>
      </c>
      <c r="D158" s="36">
        <v>260</v>
      </c>
    </row>
    <row r="159" spans="1:4" x14ac:dyDescent="0.25">
      <c r="A159" s="34">
        <v>158</v>
      </c>
      <c r="B159" s="35">
        <v>549</v>
      </c>
      <c r="C159" s="35">
        <v>403</v>
      </c>
      <c r="D159" s="36">
        <v>866</v>
      </c>
    </row>
    <row r="160" spans="1:4" x14ac:dyDescent="0.25">
      <c r="A160" s="34">
        <v>159</v>
      </c>
      <c r="B160" s="35">
        <v>329</v>
      </c>
      <c r="C160" s="35">
        <v>433</v>
      </c>
      <c r="D160" s="36">
        <v>636</v>
      </c>
    </row>
    <row r="161" spans="1:4" x14ac:dyDescent="0.25">
      <c r="A161" s="34">
        <v>160</v>
      </c>
      <c r="B161" s="35">
        <v>691</v>
      </c>
      <c r="C161" s="35">
        <v>234</v>
      </c>
      <c r="D161" s="36">
        <v>777</v>
      </c>
    </row>
    <row r="162" spans="1:4" x14ac:dyDescent="0.25">
      <c r="A162" s="34">
        <v>161</v>
      </c>
      <c r="B162" s="35">
        <v>490</v>
      </c>
      <c r="C162" s="35">
        <v>346</v>
      </c>
      <c r="D162" s="36">
        <v>331</v>
      </c>
    </row>
    <row r="163" spans="1:4" x14ac:dyDescent="0.25">
      <c r="A163" s="34">
        <v>162</v>
      </c>
      <c r="B163" s="35">
        <v>433</v>
      </c>
      <c r="C163" s="35">
        <v>326</v>
      </c>
      <c r="D163" s="36">
        <v>891</v>
      </c>
    </row>
    <row r="164" spans="1:4" x14ac:dyDescent="0.25">
      <c r="A164" s="34">
        <v>163</v>
      </c>
      <c r="B164" s="35">
        <v>516</v>
      </c>
      <c r="C164" s="35">
        <v>892</v>
      </c>
      <c r="D164" s="36">
        <v>940</v>
      </c>
    </row>
    <row r="165" spans="1:4" x14ac:dyDescent="0.25">
      <c r="A165" s="34">
        <v>164</v>
      </c>
      <c r="B165" s="35">
        <v>688</v>
      </c>
      <c r="C165" s="35">
        <v>688</v>
      </c>
      <c r="D165" s="36">
        <v>876</v>
      </c>
    </row>
    <row r="166" spans="1:4" x14ac:dyDescent="0.25">
      <c r="A166" s="34">
        <v>165</v>
      </c>
      <c r="B166" s="35">
        <v>513</v>
      </c>
      <c r="C166" s="35">
        <v>777</v>
      </c>
      <c r="D166" s="36">
        <v>218</v>
      </c>
    </row>
    <row r="167" spans="1:4" x14ac:dyDescent="0.25">
      <c r="A167" s="34">
        <v>166</v>
      </c>
      <c r="B167" s="35">
        <v>385</v>
      </c>
      <c r="C167" s="35">
        <v>455</v>
      </c>
      <c r="D167" s="36">
        <v>941</v>
      </c>
    </row>
    <row r="168" spans="1:4" x14ac:dyDescent="0.25">
      <c r="A168" s="34">
        <v>167</v>
      </c>
      <c r="B168" s="35">
        <v>351</v>
      </c>
      <c r="C168" s="35">
        <v>463</v>
      </c>
      <c r="D168" s="36">
        <v>253</v>
      </c>
    </row>
    <row r="169" spans="1:4" x14ac:dyDescent="0.25">
      <c r="A169" s="34">
        <v>168</v>
      </c>
      <c r="B169" s="35">
        <v>494</v>
      </c>
      <c r="C169" s="35">
        <v>342</v>
      </c>
      <c r="D169" s="36">
        <v>179</v>
      </c>
    </row>
    <row r="170" spans="1:4" x14ac:dyDescent="0.25">
      <c r="A170" s="34">
        <v>169</v>
      </c>
      <c r="B170" s="35">
        <v>567</v>
      </c>
      <c r="C170" s="35">
        <v>854</v>
      </c>
      <c r="D170" s="36">
        <v>343</v>
      </c>
    </row>
    <row r="171" spans="1:4" x14ac:dyDescent="0.25">
      <c r="A171" s="34">
        <v>170</v>
      </c>
      <c r="B171" s="35">
        <v>428</v>
      </c>
      <c r="C171" s="35">
        <v>412</v>
      </c>
      <c r="D171" s="36">
        <v>449</v>
      </c>
    </row>
    <row r="172" spans="1:4" x14ac:dyDescent="0.25">
      <c r="A172" s="34">
        <v>171</v>
      </c>
      <c r="B172" s="35">
        <v>442</v>
      </c>
      <c r="C172" s="35">
        <v>319</v>
      </c>
      <c r="D172" s="36">
        <v>457</v>
      </c>
    </row>
    <row r="173" spans="1:4" x14ac:dyDescent="0.25">
      <c r="A173" s="34">
        <v>172</v>
      </c>
      <c r="B173" s="35">
        <v>393</v>
      </c>
      <c r="C173" s="35">
        <v>368</v>
      </c>
      <c r="D173" s="36">
        <v>898</v>
      </c>
    </row>
    <row r="174" spans="1:4" x14ac:dyDescent="0.25">
      <c r="A174" s="34">
        <v>173</v>
      </c>
      <c r="B174" s="35">
        <v>366</v>
      </c>
      <c r="C174" s="35">
        <v>649</v>
      </c>
      <c r="D174" s="36">
        <v>712</v>
      </c>
    </row>
    <row r="175" spans="1:4" x14ac:dyDescent="0.25">
      <c r="A175" s="34">
        <v>174</v>
      </c>
      <c r="B175" s="35">
        <v>315</v>
      </c>
      <c r="C175" s="35">
        <v>644</v>
      </c>
      <c r="D175" s="36">
        <v>892</v>
      </c>
    </row>
    <row r="176" spans="1:4" x14ac:dyDescent="0.25">
      <c r="A176" s="34">
        <v>175</v>
      </c>
      <c r="B176" s="35">
        <v>397</v>
      </c>
      <c r="C176" s="35">
        <v>690</v>
      </c>
      <c r="D176" s="36">
        <v>546</v>
      </c>
    </row>
    <row r="177" spans="1:4" x14ac:dyDescent="0.25">
      <c r="A177" s="34">
        <v>176</v>
      </c>
      <c r="B177" s="35">
        <v>597</v>
      </c>
      <c r="C177" s="35">
        <v>716</v>
      </c>
      <c r="D177" s="36">
        <v>295</v>
      </c>
    </row>
    <row r="178" spans="1:4" x14ac:dyDescent="0.25">
      <c r="A178" s="34">
        <v>177</v>
      </c>
      <c r="B178" s="35">
        <v>482</v>
      </c>
      <c r="C178" s="35">
        <v>164</v>
      </c>
      <c r="D178" s="36">
        <v>257</v>
      </c>
    </row>
    <row r="179" spans="1:4" x14ac:dyDescent="0.25">
      <c r="A179" s="34">
        <v>178</v>
      </c>
      <c r="B179" s="35">
        <v>470</v>
      </c>
      <c r="C179" s="35">
        <v>114</v>
      </c>
      <c r="D179" s="36">
        <v>875</v>
      </c>
    </row>
    <row r="180" spans="1:4" x14ac:dyDescent="0.25">
      <c r="A180" s="34">
        <v>179</v>
      </c>
      <c r="B180" s="35">
        <v>406</v>
      </c>
      <c r="C180" s="35">
        <v>560</v>
      </c>
      <c r="D180" s="36">
        <v>342</v>
      </c>
    </row>
    <row r="181" spans="1:4" x14ac:dyDescent="0.25">
      <c r="A181" s="34">
        <v>180</v>
      </c>
      <c r="B181" s="35">
        <v>425</v>
      </c>
      <c r="C181" s="35">
        <v>498</v>
      </c>
      <c r="D181" s="36">
        <v>345</v>
      </c>
    </row>
    <row r="182" spans="1:4" x14ac:dyDescent="0.25">
      <c r="A182" s="34">
        <v>181</v>
      </c>
      <c r="B182" s="35">
        <v>249</v>
      </c>
      <c r="C182" s="35">
        <v>285</v>
      </c>
      <c r="D182" s="36">
        <v>463</v>
      </c>
    </row>
    <row r="183" spans="1:4" x14ac:dyDescent="0.25">
      <c r="A183" s="34">
        <v>182</v>
      </c>
      <c r="B183" s="35">
        <v>592</v>
      </c>
      <c r="C183" s="35">
        <v>748</v>
      </c>
      <c r="D183" s="36">
        <v>873</v>
      </c>
    </row>
    <row r="184" spans="1:4" x14ac:dyDescent="0.25">
      <c r="A184" s="34">
        <v>183</v>
      </c>
      <c r="B184" s="35">
        <v>294</v>
      </c>
      <c r="C184" s="35">
        <v>123</v>
      </c>
      <c r="D184" s="36">
        <v>726</v>
      </c>
    </row>
    <row r="185" spans="1:4" x14ac:dyDescent="0.25">
      <c r="A185" s="34">
        <v>184</v>
      </c>
      <c r="B185" s="35">
        <v>642</v>
      </c>
      <c r="C185" s="35">
        <v>207</v>
      </c>
      <c r="D185" s="36">
        <v>339</v>
      </c>
    </row>
    <row r="186" spans="1:4" x14ac:dyDescent="0.25">
      <c r="A186" s="34">
        <v>185</v>
      </c>
      <c r="B186" s="35">
        <v>522</v>
      </c>
      <c r="C186" s="35">
        <v>769</v>
      </c>
      <c r="D186" s="36">
        <v>289</v>
      </c>
    </row>
    <row r="187" spans="1:4" x14ac:dyDescent="0.25">
      <c r="A187" s="34">
        <v>186</v>
      </c>
      <c r="B187" s="35">
        <v>645</v>
      </c>
      <c r="C187" s="35">
        <v>825</v>
      </c>
      <c r="D187" s="36">
        <v>258</v>
      </c>
    </row>
    <row r="188" spans="1:4" x14ac:dyDescent="0.25">
      <c r="A188" s="34">
        <v>187</v>
      </c>
      <c r="B188" s="35">
        <v>545</v>
      </c>
      <c r="C188" s="35">
        <v>336</v>
      </c>
      <c r="D188" s="36">
        <v>404</v>
      </c>
    </row>
    <row r="189" spans="1:4" x14ac:dyDescent="0.25">
      <c r="A189" s="34">
        <v>188</v>
      </c>
      <c r="B189" s="35">
        <v>558</v>
      </c>
      <c r="C189" s="35">
        <v>408</v>
      </c>
      <c r="D189" s="36">
        <v>308</v>
      </c>
    </row>
    <row r="190" spans="1:4" x14ac:dyDescent="0.25">
      <c r="A190" s="34">
        <v>189</v>
      </c>
      <c r="B190" s="35">
        <v>256</v>
      </c>
      <c r="C190" s="35">
        <v>741</v>
      </c>
      <c r="D190" s="36">
        <v>263</v>
      </c>
    </row>
    <row r="191" spans="1:4" x14ac:dyDescent="0.25">
      <c r="A191" s="34">
        <v>190</v>
      </c>
      <c r="B191" s="35">
        <v>526</v>
      </c>
      <c r="C191" s="35">
        <v>540</v>
      </c>
      <c r="D191" s="36">
        <v>265</v>
      </c>
    </row>
    <row r="192" spans="1:4" x14ac:dyDescent="0.25">
      <c r="A192" s="34">
        <v>191</v>
      </c>
      <c r="B192" s="35">
        <v>343</v>
      </c>
      <c r="C192" s="35">
        <v>582</v>
      </c>
      <c r="D192" s="36">
        <v>509</v>
      </c>
    </row>
    <row r="193" spans="1:4" x14ac:dyDescent="0.25">
      <c r="A193" s="34">
        <v>192</v>
      </c>
      <c r="B193" s="35">
        <v>365</v>
      </c>
      <c r="C193" s="35">
        <v>360</v>
      </c>
      <c r="D193" s="36">
        <v>460</v>
      </c>
    </row>
    <row r="194" spans="1:4" x14ac:dyDescent="0.25">
      <c r="A194" s="34">
        <v>193</v>
      </c>
      <c r="B194" s="35">
        <v>413</v>
      </c>
      <c r="C194" s="35">
        <v>649</v>
      </c>
      <c r="D194" s="36">
        <v>354</v>
      </c>
    </row>
    <row r="195" spans="1:4" x14ac:dyDescent="0.25">
      <c r="A195" s="34">
        <v>194</v>
      </c>
      <c r="B195" s="35">
        <v>609</v>
      </c>
      <c r="C195" s="35">
        <v>858</v>
      </c>
      <c r="D195" s="36">
        <v>923</v>
      </c>
    </row>
    <row r="196" spans="1:4" x14ac:dyDescent="0.25">
      <c r="A196" s="34">
        <v>195</v>
      </c>
      <c r="B196" s="35">
        <v>590</v>
      </c>
      <c r="C196" s="35">
        <v>219</v>
      </c>
      <c r="D196" s="36">
        <v>671</v>
      </c>
    </row>
    <row r="197" spans="1:4" x14ac:dyDescent="0.25">
      <c r="A197" s="34">
        <v>196</v>
      </c>
      <c r="B197" s="35">
        <v>523</v>
      </c>
      <c r="C197" s="35">
        <v>152</v>
      </c>
      <c r="D197" s="36">
        <v>209</v>
      </c>
    </row>
    <row r="198" spans="1:4" x14ac:dyDescent="0.25">
      <c r="A198" s="34">
        <v>197</v>
      </c>
      <c r="B198" s="35">
        <v>513</v>
      </c>
      <c r="C198" s="35">
        <v>784</v>
      </c>
      <c r="D198" s="36">
        <v>631</v>
      </c>
    </row>
    <row r="199" spans="1:4" x14ac:dyDescent="0.25">
      <c r="A199" s="34">
        <v>198</v>
      </c>
      <c r="B199" s="35">
        <v>566</v>
      </c>
      <c r="C199" s="35">
        <v>531</v>
      </c>
      <c r="D199" s="36">
        <v>504</v>
      </c>
    </row>
    <row r="200" spans="1:4" x14ac:dyDescent="0.25">
      <c r="A200" s="34">
        <v>199</v>
      </c>
      <c r="B200" s="35">
        <v>570</v>
      </c>
      <c r="C200" s="35">
        <v>412</v>
      </c>
      <c r="D200" s="36">
        <v>236</v>
      </c>
    </row>
    <row r="201" spans="1:4" x14ac:dyDescent="0.25">
      <c r="A201" s="34">
        <v>200</v>
      </c>
      <c r="B201" s="35">
        <v>340</v>
      </c>
      <c r="C201" s="35">
        <v>558</v>
      </c>
      <c r="D201" s="36">
        <v>794</v>
      </c>
    </row>
    <row r="202" spans="1:4" x14ac:dyDescent="0.25">
      <c r="A202" s="34">
        <v>201</v>
      </c>
      <c r="B202" s="35">
        <v>804</v>
      </c>
      <c r="C202" s="35">
        <v>568</v>
      </c>
      <c r="D202" s="36">
        <v>244</v>
      </c>
    </row>
    <row r="203" spans="1:4" x14ac:dyDescent="0.25">
      <c r="A203" s="34">
        <v>202</v>
      </c>
      <c r="B203" s="35">
        <v>668</v>
      </c>
      <c r="C203" s="35">
        <v>421</v>
      </c>
      <c r="D203" s="36">
        <v>677</v>
      </c>
    </row>
    <row r="204" spans="1:4" x14ac:dyDescent="0.25">
      <c r="A204" s="34">
        <v>203</v>
      </c>
      <c r="B204" s="35">
        <v>762</v>
      </c>
      <c r="C204" s="35">
        <v>449</v>
      </c>
      <c r="D204" s="36">
        <v>395</v>
      </c>
    </row>
    <row r="205" spans="1:4" x14ac:dyDescent="0.25">
      <c r="A205" s="34">
        <v>204</v>
      </c>
      <c r="B205" s="35">
        <v>393</v>
      </c>
      <c r="C205" s="35">
        <v>592</v>
      </c>
      <c r="D205" s="36">
        <v>421</v>
      </c>
    </row>
    <row r="206" spans="1:4" x14ac:dyDescent="0.25">
      <c r="A206" s="34">
        <v>205</v>
      </c>
      <c r="B206" s="35">
        <v>611</v>
      </c>
      <c r="C206" s="35">
        <v>444</v>
      </c>
      <c r="D206" s="36">
        <v>429</v>
      </c>
    </row>
    <row r="207" spans="1:4" x14ac:dyDescent="0.25">
      <c r="A207" s="34">
        <v>206</v>
      </c>
      <c r="B207" s="35">
        <v>414</v>
      </c>
      <c r="C207" s="35">
        <v>347</v>
      </c>
      <c r="D207" s="36">
        <v>883</v>
      </c>
    </row>
    <row r="208" spans="1:4" x14ac:dyDescent="0.25">
      <c r="A208" s="34">
        <v>207</v>
      </c>
      <c r="B208" s="35">
        <v>464</v>
      </c>
      <c r="C208" s="35">
        <v>421</v>
      </c>
      <c r="D208" s="36">
        <v>467</v>
      </c>
    </row>
    <row r="209" spans="1:4" x14ac:dyDescent="0.25">
      <c r="A209" s="34">
        <v>208</v>
      </c>
      <c r="B209" s="35">
        <v>580</v>
      </c>
      <c r="C209" s="35">
        <v>516</v>
      </c>
      <c r="D209" s="36">
        <v>233</v>
      </c>
    </row>
    <row r="210" spans="1:4" x14ac:dyDescent="0.25">
      <c r="A210" s="34">
        <v>209</v>
      </c>
      <c r="B210" s="35">
        <v>593</v>
      </c>
      <c r="C210" s="35">
        <v>796</v>
      </c>
      <c r="D210" s="36">
        <v>725</v>
      </c>
    </row>
    <row r="211" spans="1:4" x14ac:dyDescent="0.25">
      <c r="A211" s="34">
        <v>210</v>
      </c>
      <c r="B211" s="35">
        <v>485</v>
      </c>
      <c r="C211" s="35">
        <v>160</v>
      </c>
      <c r="D211" s="36">
        <v>321</v>
      </c>
    </row>
    <row r="212" spans="1:4" x14ac:dyDescent="0.25">
      <c r="A212" s="34">
        <v>211</v>
      </c>
      <c r="B212" s="35">
        <v>731</v>
      </c>
      <c r="C212" s="35">
        <v>126</v>
      </c>
      <c r="D212" s="36">
        <v>882</v>
      </c>
    </row>
    <row r="213" spans="1:4" x14ac:dyDescent="0.25">
      <c r="A213" s="34">
        <v>212</v>
      </c>
      <c r="B213" s="35">
        <v>568</v>
      </c>
      <c r="C213" s="35">
        <v>745</v>
      </c>
      <c r="D213" s="36">
        <v>265</v>
      </c>
    </row>
    <row r="214" spans="1:4" x14ac:dyDescent="0.25">
      <c r="A214" s="34">
        <v>213</v>
      </c>
      <c r="B214" s="35">
        <v>890</v>
      </c>
      <c r="C214" s="35">
        <v>181</v>
      </c>
      <c r="D214" s="36">
        <v>442</v>
      </c>
    </row>
    <row r="215" spans="1:4" x14ac:dyDescent="0.25">
      <c r="A215" s="34">
        <v>214</v>
      </c>
      <c r="B215" s="35">
        <v>523</v>
      </c>
      <c r="C215" s="35">
        <v>569</v>
      </c>
      <c r="D215" s="36">
        <v>766</v>
      </c>
    </row>
    <row r="216" spans="1:4" x14ac:dyDescent="0.25">
      <c r="A216" s="34">
        <v>215</v>
      </c>
      <c r="B216" s="35">
        <v>469</v>
      </c>
      <c r="C216" s="35">
        <v>272</v>
      </c>
      <c r="D216" s="36">
        <v>729</v>
      </c>
    </row>
    <row r="217" spans="1:4" x14ac:dyDescent="0.25">
      <c r="A217" s="34">
        <v>216</v>
      </c>
      <c r="B217" s="35">
        <v>452</v>
      </c>
      <c r="C217" s="35">
        <v>118</v>
      </c>
      <c r="D217" s="36">
        <v>908</v>
      </c>
    </row>
    <row r="218" spans="1:4" x14ac:dyDescent="0.25">
      <c r="A218" s="34">
        <v>217</v>
      </c>
      <c r="B218" s="35">
        <v>385</v>
      </c>
      <c r="C218" s="35">
        <v>456</v>
      </c>
      <c r="D218" s="36">
        <v>957</v>
      </c>
    </row>
    <row r="219" spans="1:4" x14ac:dyDescent="0.25">
      <c r="A219" s="34">
        <v>218</v>
      </c>
      <c r="B219" s="35">
        <v>526</v>
      </c>
      <c r="C219" s="35">
        <v>723</v>
      </c>
      <c r="D219" s="36">
        <v>615</v>
      </c>
    </row>
    <row r="220" spans="1:4" x14ac:dyDescent="0.25">
      <c r="A220" s="34">
        <v>219</v>
      </c>
      <c r="B220" s="35">
        <v>808</v>
      </c>
      <c r="C220" s="35">
        <v>255</v>
      </c>
      <c r="D220" s="36">
        <v>587</v>
      </c>
    </row>
    <row r="221" spans="1:4" x14ac:dyDescent="0.25">
      <c r="A221" s="34">
        <v>220</v>
      </c>
      <c r="B221" s="35">
        <v>414</v>
      </c>
      <c r="C221" s="35">
        <v>885</v>
      </c>
      <c r="D221" s="36">
        <v>853</v>
      </c>
    </row>
    <row r="222" spans="1:4" x14ac:dyDescent="0.25">
      <c r="A222" s="34">
        <v>221</v>
      </c>
      <c r="B222" s="35">
        <v>385</v>
      </c>
      <c r="C222" s="35">
        <v>163</v>
      </c>
      <c r="D222" s="36">
        <v>527</v>
      </c>
    </row>
    <row r="223" spans="1:4" x14ac:dyDescent="0.25">
      <c r="A223" s="34">
        <v>222</v>
      </c>
      <c r="B223" s="35">
        <v>547</v>
      </c>
      <c r="C223" s="35">
        <v>689</v>
      </c>
      <c r="D223" s="36">
        <v>434</v>
      </c>
    </row>
    <row r="224" spans="1:4" x14ac:dyDescent="0.25">
      <c r="A224" s="34">
        <v>223</v>
      </c>
      <c r="B224" s="35">
        <v>318</v>
      </c>
      <c r="C224" s="35">
        <v>196</v>
      </c>
      <c r="D224" s="36">
        <v>403</v>
      </c>
    </row>
    <row r="225" spans="1:4" x14ac:dyDescent="0.25">
      <c r="A225" s="34">
        <v>224</v>
      </c>
      <c r="B225" s="35">
        <v>238</v>
      </c>
      <c r="C225" s="35">
        <v>293</v>
      </c>
      <c r="D225" s="36">
        <v>418</v>
      </c>
    </row>
    <row r="226" spans="1:4" x14ac:dyDescent="0.25">
      <c r="A226" s="34">
        <v>225</v>
      </c>
      <c r="B226" s="35">
        <v>460</v>
      </c>
      <c r="C226" s="35">
        <v>890</v>
      </c>
      <c r="D226" s="36">
        <v>593</v>
      </c>
    </row>
    <row r="227" spans="1:4" x14ac:dyDescent="0.25">
      <c r="A227" s="34">
        <v>226</v>
      </c>
      <c r="B227" s="35">
        <v>574</v>
      </c>
      <c r="C227" s="35">
        <v>570</v>
      </c>
      <c r="D227" s="36">
        <v>411</v>
      </c>
    </row>
    <row r="228" spans="1:4" x14ac:dyDescent="0.25">
      <c r="A228" s="34">
        <v>227</v>
      </c>
      <c r="B228" s="35">
        <v>480</v>
      </c>
      <c r="C228" s="35">
        <v>368</v>
      </c>
      <c r="D228" s="36">
        <v>753</v>
      </c>
    </row>
    <row r="229" spans="1:4" x14ac:dyDescent="0.25">
      <c r="A229" s="34">
        <v>228</v>
      </c>
      <c r="B229" s="35">
        <v>334</v>
      </c>
      <c r="C229" s="35">
        <v>111</v>
      </c>
      <c r="D229" s="36">
        <v>388</v>
      </c>
    </row>
    <row r="230" spans="1:4" x14ac:dyDescent="0.25">
      <c r="A230" s="34">
        <v>229</v>
      </c>
      <c r="B230" s="35">
        <v>466</v>
      </c>
      <c r="C230" s="35">
        <v>424</v>
      </c>
      <c r="D230" s="36">
        <v>962</v>
      </c>
    </row>
    <row r="231" spans="1:4" x14ac:dyDescent="0.25">
      <c r="A231" s="34">
        <v>230</v>
      </c>
      <c r="B231" s="35">
        <v>591</v>
      </c>
      <c r="C231" s="35">
        <v>533</v>
      </c>
      <c r="D231" s="36">
        <v>804</v>
      </c>
    </row>
    <row r="232" spans="1:4" x14ac:dyDescent="0.25">
      <c r="A232" s="34">
        <v>231</v>
      </c>
      <c r="B232" s="35">
        <v>349</v>
      </c>
      <c r="C232" s="35">
        <v>389</v>
      </c>
      <c r="D232" s="36">
        <v>931</v>
      </c>
    </row>
    <row r="233" spans="1:4" x14ac:dyDescent="0.25">
      <c r="A233" s="34">
        <v>232</v>
      </c>
      <c r="B233" s="35">
        <v>519</v>
      </c>
      <c r="C233" s="35">
        <v>648</v>
      </c>
      <c r="D233" s="36">
        <v>972</v>
      </c>
    </row>
    <row r="234" spans="1:4" x14ac:dyDescent="0.25">
      <c r="A234" s="34">
        <v>233</v>
      </c>
      <c r="B234" s="35">
        <v>451</v>
      </c>
      <c r="C234" s="35">
        <v>454</v>
      </c>
      <c r="D234" s="36">
        <v>710</v>
      </c>
    </row>
    <row r="235" spans="1:4" x14ac:dyDescent="0.25">
      <c r="A235" s="34">
        <v>234</v>
      </c>
      <c r="B235" s="35">
        <v>433</v>
      </c>
      <c r="C235" s="35">
        <v>848</v>
      </c>
      <c r="D235" s="36">
        <v>698</v>
      </c>
    </row>
    <row r="236" spans="1:4" x14ac:dyDescent="0.25">
      <c r="A236" s="34">
        <v>235</v>
      </c>
      <c r="B236" s="35">
        <v>875</v>
      </c>
      <c r="C236" s="35">
        <v>418</v>
      </c>
      <c r="D236" s="36">
        <v>506</v>
      </c>
    </row>
    <row r="237" spans="1:4" x14ac:dyDescent="0.25">
      <c r="A237" s="34">
        <v>236</v>
      </c>
      <c r="B237" s="35">
        <v>528</v>
      </c>
      <c r="C237" s="35">
        <v>180</v>
      </c>
      <c r="D237" s="36">
        <v>589</v>
      </c>
    </row>
    <row r="238" spans="1:4" x14ac:dyDescent="0.25">
      <c r="A238" s="34">
        <v>237</v>
      </c>
      <c r="B238" s="35">
        <v>332</v>
      </c>
      <c r="C238" s="35">
        <v>511</v>
      </c>
      <c r="D238" s="36">
        <v>839</v>
      </c>
    </row>
    <row r="239" spans="1:4" x14ac:dyDescent="0.25">
      <c r="A239" s="34">
        <v>238</v>
      </c>
      <c r="B239" s="35">
        <v>435</v>
      </c>
      <c r="C239" s="35">
        <v>120</v>
      </c>
      <c r="D239" s="36">
        <v>695</v>
      </c>
    </row>
    <row r="240" spans="1:4" x14ac:dyDescent="0.25">
      <c r="A240" s="34">
        <v>239</v>
      </c>
      <c r="B240" s="35">
        <v>651</v>
      </c>
      <c r="C240" s="35">
        <v>695</v>
      </c>
      <c r="D240" s="36">
        <v>263</v>
      </c>
    </row>
    <row r="241" spans="1:4" x14ac:dyDescent="0.25">
      <c r="A241" s="34">
        <v>240</v>
      </c>
      <c r="B241" s="35">
        <v>387</v>
      </c>
      <c r="C241" s="35">
        <v>416</v>
      </c>
      <c r="D241" s="36">
        <v>222</v>
      </c>
    </row>
    <row r="242" spans="1:4" x14ac:dyDescent="0.25">
      <c r="A242" s="34">
        <v>241</v>
      </c>
      <c r="B242" s="35">
        <v>438</v>
      </c>
      <c r="C242" s="35">
        <v>143</v>
      </c>
      <c r="D242" s="36">
        <v>783</v>
      </c>
    </row>
    <row r="243" spans="1:4" x14ac:dyDescent="0.25">
      <c r="A243" s="34">
        <v>242</v>
      </c>
      <c r="B243" s="35">
        <v>563</v>
      </c>
      <c r="C243" s="35">
        <v>375</v>
      </c>
      <c r="D243" s="36">
        <v>556</v>
      </c>
    </row>
    <row r="244" spans="1:4" x14ac:dyDescent="0.25">
      <c r="A244" s="34">
        <v>243</v>
      </c>
      <c r="B244" s="35">
        <v>502</v>
      </c>
      <c r="C244" s="35">
        <v>109</v>
      </c>
      <c r="D244" s="36">
        <v>886</v>
      </c>
    </row>
    <row r="245" spans="1:4" x14ac:dyDescent="0.25">
      <c r="A245" s="34">
        <v>244</v>
      </c>
      <c r="B245" s="35">
        <v>553</v>
      </c>
      <c r="C245" s="35">
        <v>331</v>
      </c>
      <c r="D245" s="36">
        <v>717</v>
      </c>
    </row>
    <row r="246" spans="1:4" x14ac:dyDescent="0.25">
      <c r="A246" s="34">
        <v>245</v>
      </c>
      <c r="B246" s="35">
        <v>407</v>
      </c>
      <c r="C246" s="35">
        <v>769</v>
      </c>
      <c r="D246" s="36">
        <v>946</v>
      </c>
    </row>
    <row r="247" spans="1:4" x14ac:dyDescent="0.25">
      <c r="A247" s="34">
        <v>246</v>
      </c>
      <c r="B247" s="35">
        <v>412</v>
      </c>
      <c r="C247" s="35">
        <v>252</v>
      </c>
      <c r="D247" s="36">
        <v>577</v>
      </c>
    </row>
    <row r="248" spans="1:4" x14ac:dyDescent="0.25">
      <c r="A248" s="34">
        <v>247</v>
      </c>
      <c r="B248" s="35">
        <v>491</v>
      </c>
      <c r="C248" s="35">
        <v>168</v>
      </c>
      <c r="D248" s="36">
        <v>365</v>
      </c>
    </row>
    <row r="249" spans="1:4" x14ac:dyDescent="0.25">
      <c r="A249" s="34">
        <v>248</v>
      </c>
      <c r="B249" s="35">
        <v>537</v>
      </c>
      <c r="C249" s="35">
        <v>232</v>
      </c>
      <c r="D249" s="36">
        <v>778</v>
      </c>
    </row>
    <row r="250" spans="1:4" x14ac:dyDescent="0.25">
      <c r="A250" s="34">
        <v>249</v>
      </c>
      <c r="B250" s="35">
        <v>387</v>
      </c>
      <c r="C250" s="35">
        <v>687</v>
      </c>
      <c r="D250" s="36">
        <v>532</v>
      </c>
    </row>
    <row r="251" spans="1:4" x14ac:dyDescent="0.25">
      <c r="A251" s="34">
        <v>250</v>
      </c>
      <c r="B251" s="35">
        <v>594</v>
      </c>
      <c r="C251" s="35">
        <v>488</v>
      </c>
      <c r="D251" s="36">
        <v>329</v>
      </c>
    </row>
    <row r="252" spans="1:4" x14ac:dyDescent="0.25">
      <c r="A252" s="34">
        <v>251</v>
      </c>
      <c r="B252" s="35">
        <v>722</v>
      </c>
      <c r="C252" s="35">
        <v>527</v>
      </c>
      <c r="D252" s="36">
        <v>330</v>
      </c>
    </row>
    <row r="253" spans="1:4" x14ac:dyDescent="0.25">
      <c r="A253" s="34">
        <v>252</v>
      </c>
      <c r="B253" s="35">
        <v>407</v>
      </c>
      <c r="C253" s="35">
        <v>888</v>
      </c>
      <c r="D253" s="36">
        <v>368</v>
      </c>
    </row>
    <row r="254" spans="1:4" x14ac:dyDescent="0.25">
      <c r="A254" s="34">
        <v>253</v>
      </c>
      <c r="B254" s="35">
        <v>604</v>
      </c>
      <c r="C254" s="35">
        <v>462</v>
      </c>
      <c r="D254" s="36">
        <v>793</v>
      </c>
    </row>
    <row r="255" spans="1:4" x14ac:dyDescent="0.25">
      <c r="A255" s="34">
        <v>254</v>
      </c>
      <c r="B255" s="35">
        <v>200</v>
      </c>
      <c r="C255" s="35">
        <v>857</v>
      </c>
      <c r="D255" s="36">
        <v>910</v>
      </c>
    </row>
    <row r="256" spans="1:4" x14ac:dyDescent="0.25">
      <c r="A256" s="34">
        <v>255</v>
      </c>
      <c r="B256" s="35">
        <v>582</v>
      </c>
      <c r="C256" s="35">
        <v>836</v>
      </c>
      <c r="D256" s="36">
        <v>828</v>
      </c>
    </row>
    <row r="257" spans="1:4" x14ac:dyDescent="0.25">
      <c r="A257" s="34">
        <v>256</v>
      </c>
      <c r="B257" s="35">
        <v>519</v>
      </c>
      <c r="C257" s="35">
        <v>802</v>
      </c>
      <c r="D257" s="36">
        <v>739</v>
      </c>
    </row>
    <row r="258" spans="1:4" x14ac:dyDescent="0.25">
      <c r="A258" s="34">
        <v>257</v>
      </c>
      <c r="B258" s="35">
        <v>549</v>
      </c>
      <c r="C258" s="35">
        <v>302</v>
      </c>
      <c r="D258" s="36">
        <v>758</v>
      </c>
    </row>
    <row r="259" spans="1:4" x14ac:dyDescent="0.25">
      <c r="A259" s="34">
        <v>258</v>
      </c>
      <c r="B259" s="35">
        <v>695</v>
      </c>
      <c r="C259" s="35">
        <v>270</v>
      </c>
      <c r="D259" s="36">
        <v>270</v>
      </c>
    </row>
    <row r="260" spans="1:4" x14ac:dyDescent="0.25">
      <c r="A260" s="34">
        <v>259</v>
      </c>
      <c r="B260" s="35">
        <v>328</v>
      </c>
      <c r="C260" s="35">
        <v>386</v>
      </c>
      <c r="D260" s="36">
        <v>840</v>
      </c>
    </row>
    <row r="261" spans="1:4" x14ac:dyDescent="0.25">
      <c r="A261" s="34">
        <v>260</v>
      </c>
      <c r="B261" s="35">
        <v>619</v>
      </c>
      <c r="C261" s="35">
        <v>847</v>
      </c>
      <c r="D261" s="36">
        <v>258</v>
      </c>
    </row>
    <row r="262" spans="1:4" x14ac:dyDescent="0.25">
      <c r="A262" s="34">
        <v>261</v>
      </c>
      <c r="B262" s="35">
        <v>727</v>
      </c>
      <c r="C262" s="35">
        <v>427</v>
      </c>
      <c r="D262" s="36">
        <v>824</v>
      </c>
    </row>
    <row r="263" spans="1:4" x14ac:dyDescent="0.25">
      <c r="A263" s="34">
        <v>262</v>
      </c>
      <c r="B263" s="35">
        <v>315</v>
      </c>
      <c r="C263" s="35">
        <v>254</v>
      </c>
      <c r="D263" s="36">
        <v>571</v>
      </c>
    </row>
    <row r="264" spans="1:4" x14ac:dyDescent="0.25">
      <c r="A264" s="34">
        <v>263</v>
      </c>
      <c r="B264" s="35">
        <v>287</v>
      </c>
      <c r="C264" s="35">
        <v>880</v>
      </c>
      <c r="D264" s="36">
        <v>561</v>
      </c>
    </row>
    <row r="265" spans="1:4" x14ac:dyDescent="0.25">
      <c r="A265" s="34">
        <v>264</v>
      </c>
      <c r="B265" s="35">
        <v>615</v>
      </c>
      <c r="C265" s="35">
        <v>322</v>
      </c>
      <c r="D265" s="36">
        <v>547</v>
      </c>
    </row>
    <row r="266" spans="1:4" x14ac:dyDescent="0.25">
      <c r="A266" s="34">
        <v>265</v>
      </c>
      <c r="B266" s="35">
        <v>453</v>
      </c>
      <c r="C266" s="35">
        <v>258</v>
      </c>
      <c r="D266" s="36">
        <v>776</v>
      </c>
    </row>
    <row r="267" spans="1:4" x14ac:dyDescent="0.25">
      <c r="A267" s="34">
        <v>266</v>
      </c>
      <c r="B267" s="35">
        <v>589</v>
      </c>
      <c r="C267" s="35">
        <v>844</v>
      </c>
      <c r="D267" s="36">
        <v>964</v>
      </c>
    </row>
    <row r="268" spans="1:4" x14ac:dyDescent="0.25">
      <c r="A268" s="34">
        <v>267</v>
      </c>
      <c r="B268" s="35">
        <v>369</v>
      </c>
      <c r="C268" s="35">
        <v>698</v>
      </c>
      <c r="D268" s="36">
        <v>595</v>
      </c>
    </row>
    <row r="269" spans="1:4" x14ac:dyDescent="0.25">
      <c r="A269" s="34">
        <v>268</v>
      </c>
      <c r="B269" s="35">
        <v>435</v>
      </c>
      <c r="C269" s="35">
        <v>544</v>
      </c>
      <c r="D269" s="36">
        <v>698</v>
      </c>
    </row>
    <row r="270" spans="1:4" x14ac:dyDescent="0.25">
      <c r="A270" s="34">
        <v>269</v>
      </c>
      <c r="B270" s="35">
        <v>380</v>
      </c>
      <c r="C270" s="35">
        <v>288</v>
      </c>
      <c r="D270" s="36">
        <v>657</v>
      </c>
    </row>
    <row r="271" spans="1:4" x14ac:dyDescent="0.25">
      <c r="A271" s="34">
        <v>270</v>
      </c>
      <c r="B271" s="35">
        <v>476</v>
      </c>
      <c r="C271" s="35">
        <v>705</v>
      </c>
      <c r="D271" s="36">
        <v>898</v>
      </c>
    </row>
    <row r="272" spans="1:4" x14ac:dyDescent="0.25">
      <c r="A272" s="34">
        <v>271</v>
      </c>
      <c r="B272" s="35">
        <v>453</v>
      </c>
      <c r="C272" s="35">
        <v>632</v>
      </c>
      <c r="D272" s="36">
        <v>792</v>
      </c>
    </row>
    <row r="273" spans="1:4" x14ac:dyDescent="0.25">
      <c r="A273" s="34">
        <v>272</v>
      </c>
      <c r="B273" s="35">
        <v>482</v>
      </c>
      <c r="C273" s="35">
        <v>351</v>
      </c>
      <c r="D273" s="36">
        <v>381</v>
      </c>
    </row>
    <row r="274" spans="1:4" x14ac:dyDescent="0.25">
      <c r="A274" s="34">
        <v>273</v>
      </c>
      <c r="B274" s="35">
        <v>122</v>
      </c>
      <c r="C274" s="35">
        <v>178</v>
      </c>
      <c r="D274" s="36">
        <v>556</v>
      </c>
    </row>
    <row r="275" spans="1:4" x14ac:dyDescent="0.25">
      <c r="A275" s="34">
        <v>274</v>
      </c>
      <c r="B275" s="35">
        <v>579</v>
      </c>
      <c r="C275" s="35">
        <v>843</v>
      </c>
      <c r="D275" s="36">
        <v>362</v>
      </c>
    </row>
    <row r="276" spans="1:4" x14ac:dyDescent="0.25">
      <c r="A276" s="34">
        <v>275</v>
      </c>
      <c r="B276" s="35">
        <v>626</v>
      </c>
      <c r="C276" s="35">
        <v>682</v>
      </c>
      <c r="D276" s="36">
        <v>223</v>
      </c>
    </row>
    <row r="277" spans="1:4" x14ac:dyDescent="0.25">
      <c r="A277" s="34">
        <v>276</v>
      </c>
      <c r="B277" s="35">
        <v>434</v>
      </c>
      <c r="C277" s="35">
        <v>836</v>
      </c>
      <c r="D277" s="36">
        <v>600</v>
      </c>
    </row>
    <row r="278" spans="1:4" x14ac:dyDescent="0.25">
      <c r="A278" s="34">
        <v>277</v>
      </c>
      <c r="B278" s="35">
        <v>570</v>
      </c>
      <c r="C278" s="35">
        <v>690</v>
      </c>
      <c r="D278" s="36">
        <v>396</v>
      </c>
    </row>
    <row r="279" spans="1:4" x14ac:dyDescent="0.25">
      <c r="A279" s="34">
        <v>278</v>
      </c>
      <c r="B279" s="35">
        <v>532</v>
      </c>
      <c r="C279" s="35">
        <v>400</v>
      </c>
      <c r="D279" s="36">
        <v>908</v>
      </c>
    </row>
    <row r="280" spans="1:4" x14ac:dyDescent="0.25">
      <c r="A280" s="34">
        <v>279</v>
      </c>
      <c r="B280" s="35">
        <v>181</v>
      </c>
      <c r="C280" s="35">
        <v>318</v>
      </c>
      <c r="D280" s="36">
        <v>927</v>
      </c>
    </row>
    <row r="281" spans="1:4" x14ac:dyDescent="0.25">
      <c r="A281" s="34">
        <v>280</v>
      </c>
      <c r="B281" s="35">
        <v>736</v>
      </c>
      <c r="C281" s="35">
        <v>822</v>
      </c>
      <c r="D281" s="36">
        <v>340</v>
      </c>
    </row>
    <row r="282" spans="1:4" x14ac:dyDescent="0.25">
      <c r="A282" s="34">
        <v>281</v>
      </c>
      <c r="B282" s="35">
        <v>473</v>
      </c>
      <c r="C282" s="35">
        <v>188</v>
      </c>
      <c r="D282" s="36">
        <v>478</v>
      </c>
    </row>
    <row r="283" spans="1:4" x14ac:dyDescent="0.25">
      <c r="A283" s="34">
        <v>282</v>
      </c>
      <c r="B283" s="35">
        <v>281</v>
      </c>
      <c r="C283" s="35">
        <v>360</v>
      </c>
      <c r="D283" s="36">
        <v>960</v>
      </c>
    </row>
    <row r="284" spans="1:4" x14ac:dyDescent="0.25">
      <c r="A284" s="34">
        <v>283</v>
      </c>
      <c r="B284" s="35">
        <v>647</v>
      </c>
      <c r="C284" s="35">
        <v>523</v>
      </c>
      <c r="D284" s="36">
        <v>794</v>
      </c>
    </row>
    <row r="285" spans="1:4" x14ac:dyDescent="0.25">
      <c r="A285" s="34">
        <v>284</v>
      </c>
      <c r="B285" s="35">
        <v>408</v>
      </c>
      <c r="C285" s="35">
        <v>226</v>
      </c>
      <c r="D285" s="36">
        <v>753</v>
      </c>
    </row>
    <row r="286" spans="1:4" x14ac:dyDescent="0.25">
      <c r="A286" s="34">
        <v>285</v>
      </c>
      <c r="B286" s="35">
        <v>578</v>
      </c>
      <c r="C286" s="35">
        <v>305</v>
      </c>
      <c r="D286" s="36">
        <v>282</v>
      </c>
    </row>
    <row r="287" spans="1:4" x14ac:dyDescent="0.25">
      <c r="A287" s="34">
        <v>286</v>
      </c>
      <c r="B287" s="35">
        <v>308</v>
      </c>
      <c r="C287" s="35">
        <v>335</v>
      </c>
      <c r="D287" s="36">
        <v>494</v>
      </c>
    </row>
    <row r="288" spans="1:4" x14ac:dyDescent="0.25">
      <c r="A288" s="34">
        <v>287</v>
      </c>
      <c r="B288" s="35">
        <v>309</v>
      </c>
      <c r="C288" s="35">
        <v>659</v>
      </c>
      <c r="D288" s="36">
        <v>648</v>
      </c>
    </row>
    <row r="289" spans="1:4" x14ac:dyDescent="0.25">
      <c r="A289" s="34">
        <v>288</v>
      </c>
      <c r="B289" s="35">
        <v>485</v>
      </c>
      <c r="C289" s="35">
        <v>770</v>
      </c>
      <c r="D289" s="36">
        <v>474</v>
      </c>
    </row>
    <row r="290" spans="1:4" x14ac:dyDescent="0.25">
      <c r="A290" s="34">
        <v>289</v>
      </c>
      <c r="B290" s="35">
        <v>459</v>
      </c>
      <c r="C290" s="35">
        <v>611</v>
      </c>
      <c r="D290" s="36">
        <v>774</v>
      </c>
    </row>
    <row r="291" spans="1:4" x14ac:dyDescent="0.25">
      <c r="A291" s="34">
        <v>290</v>
      </c>
      <c r="B291" s="35">
        <v>681</v>
      </c>
      <c r="C291" s="35">
        <v>240</v>
      </c>
      <c r="D291" s="36">
        <v>458</v>
      </c>
    </row>
    <row r="292" spans="1:4" x14ac:dyDescent="0.25">
      <c r="A292" s="34">
        <v>291</v>
      </c>
      <c r="B292" s="35">
        <v>665</v>
      </c>
      <c r="C292" s="35">
        <v>328</v>
      </c>
      <c r="D292" s="36">
        <v>617</v>
      </c>
    </row>
    <row r="293" spans="1:4" x14ac:dyDescent="0.25">
      <c r="A293" s="34">
        <v>292</v>
      </c>
      <c r="B293" s="35">
        <v>389</v>
      </c>
      <c r="C293" s="35">
        <v>613</v>
      </c>
      <c r="D293" s="36">
        <v>478</v>
      </c>
    </row>
    <row r="294" spans="1:4" x14ac:dyDescent="0.25">
      <c r="A294" s="34">
        <v>293</v>
      </c>
      <c r="B294" s="35">
        <v>800</v>
      </c>
      <c r="C294" s="35">
        <v>774</v>
      </c>
      <c r="D294" s="36">
        <v>356</v>
      </c>
    </row>
    <row r="295" spans="1:4" x14ac:dyDescent="0.25">
      <c r="A295" s="34">
        <v>294</v>
      </c>
      <c r="B295" s="35">
        <v>489</v>
      </c>
      <c r="C295" s="35">
        <v>458</v>
      </c>
      <c r="D295" s="36">
        <v>537</v>
      </c>
    </row>
    <row r="296" spans="1:4" x14ac:dyDescent="0.25">
      <c r="A296" s="34">
        <v>295</v>
      </c>
      <c r="B296" s="35">
        <v>312</v>
      </c>
      <c r="C296" s="35">
        <v>564</v>
      </c>
      <c r="D296" s="36">
        <v>764</v>
      </c>
    </row>
    <row r="297" spans="1:4" x14ac:dyDescent="0.25">
      <c r="A297" s="34">
        <v>296</v>
      </c>
      <c r="B297" s="35">
        <v>595</v>
      </c>
      <c r="C297" s="35">
        <v>631</v>
      </c>
      <c r="D297" s="36">
        <v>237</v>
      </c>
    </row>
    <row r="298" spans="1:4" x14ac:dyDescent="0.25">
      <c r="A298" s="34">
        <v>297</v>
      </c>
      <c r="B298" s="35">
        <v>635</v>
      </c>
      <c r="C298" s="35">
        <v>794</v>
      </c>
      <c r="D298" s="36">
        <v>574</v>
      </c>
    </row>
    <row r="299" spans="1:4" x14ac:dyDescent="0.25">
      <c r="A299" s="34">
        <v>298</v>
      </c>
      <c r="B299" s="35">
        <v>637</v>
      </c>
      <c r="C299" s="35">
        <v>313</v>
      </c>
      <c r="D299" s="36">
        <v>378</v>
      </c>
    </row>
    <row r="300" spans="1:4" x14ac:dyDescent="0.25">
      <c r="A300" s="34">
        <v>299</v>
      </c>
      <c r="B300" s="35">
        <v>537</v>
      </c>
      <c r="C300" s="35">
        <v>111</v>
      </c>
      <c r="D300" s="36">
        <v>616</v>
      </c>
    </row>
    <row r="301" spans="1:4" x14ac:dyDescent="0.25">
      <c r="A301" s="34">
        <v>300</v>
      </c>
      <c r="B301" s="35">
        <v>687</v>
      </c>
      <c r="C301" s="35">
        <v>858</v>
      </c>
      <c r="D301" s="36">
        <v>560</v>
      </c>
    </row>
    <row r="302" spans="1:4" x14ac:dyDescent="0.25">
      <c r="A302" s="34">
        <v>301</v>
      </c>
      <c r="B302" s="35">
        <v>436</v>
      </c>
      <c r="C302" s="35">
        <v>631</v>
      </c>
      <c r="D302" s="36">
        <v>360</v>
      </c>
    </row>
    <row r="303" spans="1:4" x14ac:dyDescent="0.25">
      <c r="A303" s="34">
        <v>302</v>
      </c>
      <c r="B303" s="35">
        <v>460</v>
      </c>
      <c r="C303" s="35">
        <v>404</v>
      </c>
      <c r="D303" s="36">
        <v>857</v>
      </c>
    </row>
    <row r="304" spans="1:4" x14ac:dyDescent="0.25">
      <c r="A304" s="34">
        <v>303</v>
      </c>
      <c r="B304" s="35">
        <v>191</v>
      </c>
      <c r="C304" s="35">
        <v>890</v>
      </c>
      <c r="D304" s="36">
        <v>394</v>
      </c>
    </row>
    <row r="305" spans="1:4" x14ac:dyDescent="0.25">
      <c r="A305" s="34">
        <v>304</v>
      </c>
      <c r="B305" s="35">
        <v>523</v>
      </c>
      <c r="C305" s="35">
        <v>862</v>
      </c>
      <c r="D305" s="36">
        <v>890</v>
      </c>
    </row>
    <row r="306" spans="1:4" x14ac:dyDescent="0.25">
      <c r="A306" s="34">
        <v>305</v>
      </c>
      <c r="B306" s="35">
        <v>667</v>
      </c>
      <c r="C306" s="35">
        <v>691</v>
      </c>
      <c r="D306" s="36">
        <v>443</v>
      </c>
    </row>
    <row r="307" spans="1:4" x14ac:dyDescent="0.25">
      <c r="A307" s="34">
        <v>306</v>
      </c>
      <c r="B307" s="35">
        <v>294</v>
      </c>
      <c r="C307" s="35">
        <v>188</v>
      </c>
      <c r="D307" s="36">
        <v>239</v>
      </c>
    </row>
    <row r="308" spans="1:4" x14ac:dyDescent="0.25">
      <c r="A308" s="34">
        <v>307</v>
      </c>
      <c r="B308" s="35">
        <v>429</v>
      </c>
      <c r="C308" s="35">
        <v>151</v>
      </c>
      <c r="D308" s="36">
        <v>632</v>
      </c>
    </row>
    <row r="309" spans="1:4" x14ac:dyDescent="0.25">
      <c r="A309" s="34">
        <v>308</v>
      </c>
      <c r="B309" s="35">
        <v>767</v>
      </c>
      <c r="C309" s="35">
        <v>391</v>
      </c>
      <c r="D309" s="36">
        <v>422</v>
      </c>
    </row>
    <row r="310" spans="1:4" x14ac:dyDescent="0.25">
      <c r="A310" s="34">
        <v>309</v>
      </c>
      <c r="B310" s="35">
        <v>318</v>
      </c>
      <c r="C310" s="35">
        <v>123</v>
      </c>
      <c r="D310" s="36">
        <v>547</v>
      </c>
    </row>
    <row r="311" spans="1:4" x14ac:dyDescent="0.25">
      <c r="A311" s="34">
        <v>310</v>
      </c>
      <c r="B311" s="35">
        <v>414</v>
      </c>
      <c r="C311" s="35">
        <v>728</v>
      </c>
      <c r="D311" s="36">
        <v>728</v>
      </c>
    </row>
    <row r="312" spans="1:4" x14ac:dyDescent="0.25">
      <c r="A312" s="34">
        <v>311</v>
      </c>
      <c r="B312" s="35">
        <v>644</v>
      </c>
      <c r="C312" s="35">
        <v>314</v>
      </c>
      <c r="D312" s="36">
        <v>850</v>
      </c>
    </row>
    <row r="313" spans="1:4" x14ac:dyDescent="0.25">
      <c r="A313" s="34">
        <v>312</v>
      </c>
      <c r="B313" s="35">
        <v>545</v>
      </c>
      <c r="C313" s="35">
        <v>115</v>
      </c>
      <c r="D313" s="36">
        <v>279</v>
      </c>
    </row>
    <row r="314" spans="1:4" x14ac:dyDescent="0.25">
      <c r="A314" s="34">
        <v>313</v>
      </c>
      <c r="B314" s="35">
        <v>435</v>
      </c>
      <c r="C314" s="35">
        <v>853</v>
      </c>
      <c r="D314" s="36">
        <v>509</v>
      </c>
    </row>
    <row r="315" spans="1:4" x14ac:dyDescent="0.25">
      <c r="A315" s="34">
        <v>314</v>
      </c>
      <c r="B315" s="35">
        <v>441</v>
      </c>
      <c r="C315" s="35">
        <v>606</v>
      </c>
      <c r="D315" s="36">
        <v>955</v>
      </c>
    </row>
    <row r="316" spans="1:4" x14ac:dyDescent="0.25">
      <c r="A316" s="34">
        <v>315</v>
      </c>
      <c r="B316" s="35">
        <v>392</v>
      </c>
      <c r="C316" s="35">
        <v>305</v>
      </c>
      <c r="D316" s="36">
        <v>727</v>
      </c>
    </row>
    <row r="317" spans="1:4" x14ac:dyDescent="0.25">
      <c r="A317" s="34">
        <v>316</v>
      </c>
      <c r="B317" s="35">
        <v>347</v>
      </c>
      <c r="C317" s="35">
        <v>811</v>
      </c>
      <c r="D317" s="36">
        <v>901</v>
      </c>
    </row>
    <row r="318" spans="1:4" x14ac:dyDescent="0.25">
      <c r="A318" s="34">
        <v>317</v>
      </c>
      <c r="B318" s="35">
        <v>362</v>
      </c>
      <c r="C318" s="35">
        <v>128</v>
      </c>
      <c r="D318" s="36">
        <v>626</v>
      </c>
    </row>
    <row r="319" spans="1:4" x14ac:dyDescent="0.25">
      <c r="A319" s="34">
        <v>318</v>
      </c>
      <c r="B319" s="35">
        <v>325</v>
      </c>
      <c r="C319" s="35">
        <v>750</v>
      </c>
      <c r="D319" s="36">
        <v>750</v>
      </c>
    </row>
    <row r="320" spans="1:4" x14ac:dyDescent="0.25">
      <c r="A320" s="34">
        <v>319</v>
      </c>
      <c r="B320" s="35">
        <v>537</v>
      </c>
      <c r="C320" s="35">
        <v>803</v>
      </c>
      <c r="D320" s="36">
        <v>641</v>
      </c>
    </row>
    <row r="321" spans="1:4" x14ac:dyDescent="0.25">
      <c r="A321" s="34">
        <v>320</v>
      </c>
      <c r="B321" s="35">
        <v>469</v>
      </c>
      <c r="C321" s="35">
        <v>255</v>
      </c>
      <c r="D321" s="36">
        <v>720</v>
      </c>
    </row>
    <row r="322" spans="1:4" x14ac:dyDescent="0.25">
      <c r="A322" s="34">
        <v>321</v>
      </c>
      <c r="B322" s="35">
        <v>389</v>
      </c>
      <c r="C322" s="35">
        <v>475</v>
      </c>
      <c r="D322" s="36">
        <v>610</v>
      </c>
    </row>
    <row r="323" spans="1:4" x14ac:dyDescent="0.25">
      <c r="A323" s="34">
        <v>322</v>
      </c>
      <c r="B323" s="35">
        <v>349</v>
      </c>
      <c r="C323" s="35">
        <v>785</v>
      </c>
      <c r="D323" s="36">
        <v>820</v>
      </c>
    </row>
    <row r="324" spans="1:4" x14ac:dyDescent="0.25">
      <c r="A324" s="34">
        <v>323</v>
      </c>
      <c r="B324" s="35">
        <v>286</v>
      </c>
      <c r="C324" s="35">
        <v>506</v>
      </c>
      <c r="D324" s="36">
        <v>915</v>
      </c>
    </row>
    <row r="325" spans="1:4" x14ac:dyDescent="0.25">
      <c r="A325" s="34">
        <v>324</v>
      </c>
      <c r="B325" s="35">
        <v>544</v>
      </c>
      <c r="C325" s="35">
        <v>851</v>
      </c>
      <c r="D325" s="36">
        <v>823</v>
      </c>
    </row>
    <row r="326" spans="1:4" x14ac:dyDescent="0.25">
      <c r="A326" s="34">
        <v>325</v>
      </c>
      <c r="B326" s="35">
        <v>417</v>
      </c>
      <c r="C326" s="35">
        <v>534</v>
      </c>
      <c r="D326" s="36">
        <v>743</v>
      </c>
    </row>
    <row r="327" spans="1:4" x14ac:dyDescent="0.25">
      <c r="A327" s="34">
        <v>326</v>
      </c>
      <c r="B327" s="35">
        <v>378</v>
      </c>
      <c r="C327" s="35">
        <v>697</v>
      </c>
      <c r="D327" s="36">
        <v>643</v>
      </c>
    </row>
    <row r="328" spans="1:4" x14ac:dyDescent="0.25">
      <c r="A328" s="34">
        <v>327</v>
      </c>
      <c r="B328" s="35">
        <v>541</v>
      </c>
      <c r="C328" s="35">
        <v>529</v>
      </c>
      <c r="D328" s="36">
        <v>621</v>
      </c>
    </row>
    <row r="329" spans="1:4" x14ac:dyDescent="0.25">
      <c r="A329" s="34">
        <v>328</v>
      </c>
      <c r="B329" s="35">
        <v>638</v>
      </c>
      <c r="C329" s="35">
        <v>627</v>
      </c>
      <c r="D329" s="36">
        <v>871</v>
      </c>
    </row>
    <row r="330" spans="1:4" x14ac:dyDescent="0.25">
      <c r="A330" s="34">
        <v>329</v>
      </c>
      <c r="B330" s="35">
        <v>430</v>
      </c>
      <c r="C330" s="35">
        <v>876</v>
      </c>
      <c r="D330" s="36">
        <v>561</v>
      </c>
    </row>
    <row r="331" spans="1:4" x14ac:dyDescent="0.25">
      <c r="A331" s="34">
        <v>330</v>
      </c>
      <c r="B331" s="35">
        <v>705</v>
      </c>
      <c r="C331" s="35">
        <v>600</v>
      </c>
      <c r="D331" s="36">
        <v>881</v>
      </c>
    </row>
    <row r="332" spans="1:4" x14ac:dyDescent="0.25">
      <c r="A332" s="34">
        <v>331</v>
      </c>
      <c r="B332" s="35">
        <v>682</v>
      </c>
      <c r="C332" s="35">
        <v>722</v>
      </c>
      <c r="D332" s="36">
        <v>271</v>
      </c>
    </row>
    <row r="333" spans="1:4" x14ac:dyDescent="0.25">
      <c r="A333" s="34">
        <v>332</v>
      </c>
      <c r="B333" s="35">
        <v>579</v>
      </c>
      <c r="C333" s="35">
        <v>346</v>
      </c>
      <c r="D333" s="36">
        <v>824</v>
      </c>
    </row>
    <row r="334" spans="1:4" x14ac:dyDescent="0.25">
      <c r="A334" s="34">
        <v>333</v>
      </c>
      <c r="B334" s="35">
        <v>717</v>
      </c>
      <c r="C334" s="35">
        <v>686</v>
      </c>
      <c r="D334" s="36">
        <v>482</v>
      </c>
    </row>
    <row r="335" spans="1:4" x14ac:dyDescent="0.25">
      <c r="A335" s="34">
        <v>334</v>
      </c>
      <c r="B335" s="35">
        <v>626</v>
      </c>
      <c r="C335" s="35">
        <v>587</v>
      </c>
      <c r="D335" s="36">
        <v>790</v>
      </c>
    </row>
    <row r="336" spans="1:4" x14ac:dyDescent="0.25">
      <c r="A336" s="34">
        <v>335</v>
      </c>
      <c r="B336" s="35">
        <v>385</v>
      </c>
      <c r="C336" s="35">
        <v>235</v>
      </c>
      <c r="D336" s="36">
        <v>221</v>
      </c>
    </row>
    <row r="337" spans="1:4" x14ac:dyDescent="0.25">
      <c r="A337" s="34">
        <v>336</v>
      </c>
      <c r="B337" s="35">
        <v>394</v>
      </c>
      <c r="C337" s="35">
        <v>893</v>
      </c>
      <c r="D337" s="36">
        <v>580</v>
      </c>
    </row>
    <row r="338" spans="1:4" x14ac:dyDescent="0.25">
      <c r="A338" s="34">
        <v>337</v>
      </c>
      <c r="B338" s="35">
        <v>642</v>
      </c>
      <c r="C338" s="35">
        <v>623</v>
      </c>
      <c r="D338" s="36">
        <v>312</v>
      </c>
    </row>
    <row r="339" spans="1:4" x14ac:dyDescent="0.25">
      <c r="A339" s="34">
        <v>338</v>
      </c>
      <c r="B339" s="35">
        <v>750</v>
      </c>
      <c r="C339" s="35">
        <v>114</v>
      </c>
      <c r="D339" s="36">
        <v>313</v>
      </c>
    </row>
    <row r="340" spans="1:4" x14ac:dyDescent="0.25">
      <c r="A340" s="34">
        <v>339</v>
      </c>
      <c r="B340" s="35">
        <v>605</v>
      </c>
      <c r="C340" s="35">
        <v>810</v>
      </c>
      <c r="D340" s="36">
        <v>793</v>
      </c>
    </row>
    <row r="341" spans="1:4" x14ac:dyDescent="0.25">
      <c r="A341" s="34">
        <v>340</v>
      </c>
      <c r="B341" s="35">
        <v>564</v>
      </c>
      <c r="C341" s="35">
        <v>611</v>
      </c>
      <c r="D341" s="36">
        <v>473</v>
      </c>
    </row>
    <row r="342" spans="1:4" x14ac:dyDescent="0.25">
      <c r="A342" s="34">
        <v>341</v>
      </c>
      <c r="B342" s="35">
        <v>672</v>
      </c>
      <c r="C342" s="35">
        <v>105</v>
      </c>
      <c r="D342" s="36">
        <v>440</v>
      </c>
    </row>
    <row r="343" spans="1:4" x14ac:dyDescent="0.25">
      <c r="A343" s="34">
        <v>342</v>
      </c>
      <c r="B343" s="35">
        <v>759</v>
      </c>
      <c r="C343" s="35">
        <v>600</v>
      </c>
      <c r="D343" s="36">
        <v>415</v>
      </c>
    </row>
    <row r="344" spans="1:4" x14ac:dyDescent="0.25">
      <c r="A344" s="34">
        <v>343</v>
      </c>
      <c r="B344" s="35">
        <v>507</v>
      </c>
      <c r="C344" s="35">
        <v>820</v>
      </c>
      <c r="D344" s="36">
        <v>881</v>
      </c>
    </row>
    <row r="345" spans="1:4" x14ac:dyDescent="0.25">
      <c r="A345" s="34">
        <v>344</v>
      </c>
      <c r="B345" s="35">
        <v>468</v>
      </c>
      <c r="C345" s="35">
        <v>478</v>
      </c>
      <c r="D345" s="36">
        <v>802</v>
      </c>
    </row>
    <row r="346" spans="1:4" x14ac:dyDescent="0.25">
      <c r="A346" s="34">
        <v>345</v>
      </c>
      <c r="B346" s="35">
        <v>349</v>
      </c>
      <c r="C346" s="35">
        <v>891</v>
      </c>
      <c r="D346" s="36">
        <v>230</v>
      </c>
    </row>
    <row r="347" spans="1:4" x14ac:dyDescent="0.25">
      <c r="A347" s="34">
        <v>346</v>
      </c>
      <c r="B347" s="35">
        <v>624</v>
      </c>
      <c r="C347" s="35">
        <v>151</v>
      </c>
      <c r="D347" s="36">
        <v>781</v>
      </c>
    </row>
    <row r="348" spans="1:4" x14ac:dyDescent="0.25">
      <c r="A348" s="34">
        <v>347</v>
      </c>
      <c r="B348" s="35">
        <v>468</v>
      </c>
      <c r="C348" s="35">
        <v>245</v>
      </c>
      <c r="D348" s="36">
        <v>385</v>
      </c>
    </row>
    <row r="349" spans="1:4" x14ac:dyDescent="0.25">
      <c r="A349" s="34">
        <v>348</v>
      </c>
      <c r="B349" s="35">
        <v>358</v>
      </c>
      <c r="C349" s="35">
        <v>224</v>
      </c>
      <c r="D349" s="36">
        <v>341</v>
      </c>
    </row>
    <row r="350" spans="1:4" x14ac:dyDescent="0.25">
      <c r="A350" s="34">
        <v>349</v>
      </c>
      <c r="B350" s="35">
        <v>605</v>
      </c>
      <c r="C350" s="35">
        <v>601</v>
      </c>
      <c r="D350" s="36">
        <v>681</v>
      </c>
    </row>
    <row r="351" spans="1:4" x14ac:dyDescent="0.25">
      <c r="A351" s="34">
        <v>350</v>
      </c>
      <c r="B351" s="35">
        <v>254</v>
      </c>
      <c r="C351" s="35">
        <v>758</v>
      </c>
      <c r="D351" s="36">
        <v>904</v>
      </c>
    </row>
    <row r="352" spans="1:4" x14ac:dyDescent="0.25">
      <c r="A352" s="34">
        <v>351</v>
      </c>
      <c r="B352" s="35">
        <v>482</v>
      </c>
      <c r="C352" s="35">
        <v>835</v>
      </c>
      <c r="D352" s="36">
        <v>570</v>
      </c>
    </row>
    <row r="353" spans="1:4" x14ac:dyDescent="0.25">
      <c r="A353" s="34">
        <v>352</v>
      </c>
      <c r="B353" s="35">
        <v>284</v>
      </c>
      <c r="C353" s="35">
        <v>878</v>
      </c>
      <c r="D353" s="36">
        <v>738</v>
      </c>
    </row>
    <row r="354" spans="1:4" x14ac:dyDescent="0.25">
      <c r="A354" s="34">
        <v>353</v>
      </c>
      <c r="B354" s="35">
        <v>413</v>
      </c>
      <c r="C354" s="35">
        <v>298</v>
      </c>
      <c r="D354" s="36">
        <v>362</v>
      </c>
    </row>
    <row r="355" spans="1:4" x14ac:dyDescent="0.25">
      <c r="A355" s="34">
        <v>354</v>
      </c>
      <c r="B355" s="35">
        <v>507</v>
      </c>
      <c r="C355" s="35">
        <v>533</v>
      </c>
      <c r="D355" s="36">
        <v>766</v>
      </c>
    </row>
    <row r="356" spans="1:4" x14ac:dyDescent="0.25">
      <c r="A356" s="34">
        <v>355</v>
      </c>
      <c r="B356" s="35">
        <v>590</v>
      </c>
      <c r="C356" s="35">
        <v>693</v>
      </c>
      <c r="D356" s="36">
        <v>825</v>
      </c>
    </row>
    <row r="357" spans="1:4" x14ac:dyDescent="0.25">
      <c r="A357" s="34">
        <v>356</v>
      </c>
      <c r="B357" s="35">
        <v>614</v>
      </c>
      <c r="C357" s="35">
        <v>562</v>
      </c>
      <c r="D357" s="36">
        <v>545</v>
      </c>
    </row>
    <row r="358" spans="1:4" x14ac:dyDescent="0.25">
      <c r="A358" s="34">
        <v>357</v>
      </c>
      <c r="B358" s="35">
        <v>263</v>
      </c>
      <c r="C358" s="35">
        <v>454</v>
      </c>
      <c r="D358" s="36">
        <v>499</v>
      </c>
    </row>
    <row r="359" spans="1:4" x14ac:dyDescent="0.25">
      <c r="A359" s="34">
        <v>358</v>
      </c>
      <c r="B359" s="35">
        <v>501</v>
      </c>
      <c r="C359" s="35">
        <v>216</v>
      </c>
      <c r="D359" s="36">
        <v>829</v>
      </c>
    </row>
    <row r="360" spans="1:4" x14ac:dyDescent="0.25">
      <c r="A360" s="34">
        <v>359</v>
      </c>
      <c r="B360" s="35">
        <v>692</v>
      </c>
      <c r="C360" s="35">
        <v>604</v>
      </c>
      <c r="D360" s="36">
        <v>971</v>
      </c>
    </row>
    <row r="361" spans="1:4" x14ac:dyDescent="0.25">
      <c r="A361" s="34">
        <v>360</v>
      </c>
      <c r="B361" s="35">
        <v>450</v>
      </c>
      <c r="C361" s="35">
        <v>602</v>
      </c>
      <c r="D361" s="36">
        <v>736</v>
      </c>
    </row>
    <row r="362" spans="1:4" x14ac:dyDescent="0.25">
      <c r="A362" s="34">
        <v>361</v>
      </c>
      <c r="B362" s="35">
        <v>646</v>
      </c>
      <c r="C362" s="35">
        <v>236</v>
      </c>
      <c r="D362" s="36">
        <v>893</v>
      </c>
    </row>
    <row r="363" spans="1:4" x14ac:dyDescent="0.25">
      <c r="A363" s="34">
        <v>362</v>
      </c>
      <c r="B363" s="35">
        <v>584</v>
      </c>
      <c r="C363" s="35">
        <v>398</v>
      </c>
      <c r="D363" s="36">
        <v>785</v>
      </c>
    </row>
    <row r="364" spans="1:4" x14ac:dyDescent="0.25">
      <c r="A364" s="34">
        <v>363</v>
      </c>
      <c r="B364" s="35">
        <v>415</v>
      </c>
      <c r="C364" s="35">
        <v>747</v>
      </c>
      <c r="D364" s="36">
        <v>777</v>
      </c>
    </row>
    <row r="365" spans="1:4" x14ac:dyDescent="0.25">
      <c r="A365" s="34">
        <v>364</v>
      </c>
      <c r="B365" s="35">
        <v>635</v>
      </c>
      <c r="C365" s="35">
        <v>396</v>
      </c>
      <c r="D365" s="36">
        <v>208</v>
      </c>
    </row>
    <row r="366" spans="1:4" ht="16.5" thickBot="1" x14ac:dyDescent="0.3">
      <c r="A366" s="37">
        <v>365</v>
      </c>
      <c r="B366" s="38">
        <v>245</v>
      </c>
      <c r="C366" s="38">
        <v>116</v>
      </c>
      <c r="D366" s="39">
        <v>374</v>
      </c>
    </row>
  </sheetData>
  <customSheetViews>
    <customSheetView guid="{645043AA-52DD-4410-9CC4-C1077759B76F}">
      <selection activeCell="D12" sqref="D12"/>
      <pageMargins left="0.7" right="0.7" top="0.75" bottom="0.75" header="0.3" footer="0.3"/>
    </customSheetView>
    <customSheetView guid="{AF6195BB-C8F4-4292-925B-49D95A71E1EF}">
      <selection activeCell="L8" sqref="L8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Manager's Page</vt:lpstr>
      <vt:lpstr>Constant</vt:lpstr>
      <vt:lpstr>Calculation Page</vt:lpstr>
      <vt:lpstr>Data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A. Norman</dc:creator>
  <cp:lastModifiedBy>kevin robinson</cp:lastModifiedBy>
  <dcterms:created xsi:type="dcterms:W3CDTF">2009-10-10T14:27:40Z</dcterms:created>
  <dcterms:modified xsi:type="dcterms:W3CDTF">2025-05-16T01:14:12Z</dcterms:modified>
</cp:coreProperties>
</file>